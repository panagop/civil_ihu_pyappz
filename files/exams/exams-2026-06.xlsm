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6B7DA054-2C32-41BF-B2D8-75E47AA515FD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M99" i="1"/>
  <c r="J99" i="1" s="1"/>
  <c r="M101" i="1"/>
  <c r="J101" i="1" s="1"/>
  <c r="M61" i="1"/>
  <c r="M62" i="1"/>
  <c r="M63" i="1"/>
  <c r="M73" i="1"/>
  <c r="M81" i="1"/>
  <c r="J81" i="1" s="1"/>
  <c r="M82" i="1"/>
  <c r="M83" i="1"/>
  <c r="M84" i="1"/>
  <c r="J84" i="1" s="1"/>
  <c r="M85" i="1"/>
  <c r="J85" i="1" s="1"/>
  <c r="M86" i="1"/>
  <c r="M37" i="1"/>
  <c r="M38" i="1"/>
  <c r="J38" i="1" s="1"/>
  <c r="M40" i="1"/>
  <c r="J40" i="1" s="1"/>
  <c r="M41" i="1"/>
  <c r="M42" i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M15" i="1"/>
  <c r="J15" i="1" s="1"/>
  <c r="M16" i="1"/>
  <c r="M17" i="1"/>
  <c r="J17" i="1" s="1"/>
  <c r="M18" i="1"/>
  <c r="M19" i="1"/>
  <c r="J19" i="1" s="1"/>
  <c r="M20" i="1"/>
  <c r="J20" i="1" s="1"/>
  <c r="M21" i="1"/>
  <c r="J21" i="1" s="1"/>
  <c r="M22" i="1"/>
  <c r="J22" i="1" s="1"/>
  <c r="M23" i="1"/>
  <c r="M24" i="1"/>
  <c r="J24" i="1" s="1"/>
  <c r="M25" i="1"/>
  <c r="J25" i="1" s="1"/>
  <c r="M26" i="1"/>
  <c r="M28" i="1"/>
  <c r="M29" i="1"/>
  <c r="M30" i="1"/>
  <c r="M31" i="1"/>
  <c r="M32" i="1"/>
  <c r="M33" i="1"/>
  <c r="J33" i="1" s="1"/>
  <c r="M34" i="1"/>
  <c r="J34" i="1" s="1"/>
  <c r="M35" i="1"/>
  <c r="M36" i="1"/>
  <c r="M3" i="1"/>
  <c r="M4" i="1"/>
  <c r="M5" i="1"/>
  <c r="M6" i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86" i="1" l="1"/>
  <c r="J83" i="1"/>
  <c r="J41" i="1"/>
  <c r="J23" i="1"/>
  <c r="J63" i="1"/>
  <c r="J32" i="1"/>
  <c r="J73" i="1"/>
  <c r="J4" i="1"/>
  <c r="J26" i="1"/>
  <c r="J82" i="1"/>
  <c r="J62" i="1"/>
  <c r="J30" i="1"/>
  <c r="J5" i="1"/>
  <c r="J14" i="1"/>
  <c r="J6" i="1"/>
  <c r="J61" i="1"/>
  <c r="J29" i="1"/>
  <c r="J36" i="1"/>
  <c r="J28" i="1"/>
  <c r="J35" i="1"/>
  <c r="J96" i="1"/>
  <c r="J18" i="1"/>
  <c r="J37" i="1"/>
  <c r="J31" i="1"/>
  <c r="J3" i="1"/>
  <c r="J42" i="1"/>
  <c r="J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<sst xmlns="http://schemas.openxmlformats.org/spreadsheetml/2006/main" count="1179" uniqueCount="524">
  <si>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</si>
  <si>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</si>
  <si>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</si>
  <si>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</si>
  <si>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</si>
  <si>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</si>
  <si>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</si>
  <si>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</si>
  <si>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</si>
  <si>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</si>
  <si>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</si>
  <si>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</si>
  <si>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</si>
  <si>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</si>
  <si>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</si>
  <si>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</si>
  <si>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</si>
  <si>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</si>
  <si>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</si>
  <si>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</si>
  <si>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</si>
  <si>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</si>
  <si>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</si>
  <si>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</si>
  <si>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</si>
  <si>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</si>
  <si>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</si>
  <si>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</si>
  <si>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</si>
  <si>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</si>
  <si>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</si>
  <si>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</si>
  <si>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</si>
  <si>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</si>
  <si>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</si>
  <si>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</si>
  <si>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</si>
  <si>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</si>
  <si>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</si>
  <si>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</si>
  <si>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</si>
  <si>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</si>
  <si>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</si>
  <si>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</si>
  <si>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</si>
  <si>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</si>
  <si>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</si>
  <si>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</si>
  <si>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</si>
  <si>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</si>
  <si>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</si>
  <si>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</si>
  <si>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</si>
  <si>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</si>
  <si>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</si>
  <si>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</si>
  <si>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</si>
  <si>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</si>
  <si>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</si>
  <si>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</si>
  <si>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</si>
  <si>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</si>
  <si>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</si>
  <si>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</si>
  <si>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</si>
  <si>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</si>
  <si>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</si>
  <si>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</si>
  <si>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</si>
  <si>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</si>
  <si>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</si>
  <si>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</si>
  <si>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</si>
  <si>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</si>
  <si>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</si>
  <si>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</si>
  <si>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</si>
  <si>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</si>
  <si>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</si>
  <si>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</si>
  <si>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</si>
  <si>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</si>
  <si>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</si>
  <si>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</si>
  <si>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</si>
  <si>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</si>
  <si>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</si>
  <si>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</si>
  <si>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</si>
  <si>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</si>
  <si>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</si>
  <si>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</si>
  <si>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</si>
  <si>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</si>
  <si>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</si>
  <si>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</si>
  <si>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</si>
  <si>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</si>
  <si>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</si>
  <si>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</si>
  <si>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</si>
  <si>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</si>
  <si>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</si>
  <si>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</si>
  <si>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</si>
  <si>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</si>
  <si>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</si>
  <si>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</si>
  <si>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</si>
  <si>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</si>
  <si>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</si>
  <si>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</si>
  <si>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</si>
  <si>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</si>
  <si>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</si>
  <si>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</si>
  <si>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</si>
  <si>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</si>
  <si>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</si>
  <si>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</si>
  <si>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</si>
  <si>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</si>
  <si>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</si>
  <si>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</si>
  <si>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</si>
  <si>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</si>
  <si>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</si>
  <si>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</si>
  <si>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</si>
  <si>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</si>
  <si>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</si>
  <si>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</si>
  <si>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</si>
  <si>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</si>
  <si>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</si>
  <si>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</si>
  <si>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</si>
  <si>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</si>
  <si>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</si>
  <si>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</si>
  <si>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</si>
  <si>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</si>
  <si>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</si>
  <si>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</si>
  <si>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</si>
  <si>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</si>
  <si>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</si>
  <si>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</si>
  <si>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</si>
  <si>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</si>
  <si>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</si>
  <si>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</si>
  <si>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</si>
  <si>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</si>
  <si>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</si>
  <si>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</si>
  <si>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</si>
  <si>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</si>
  <si>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</si>
  <si>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</si>
  <si>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</si>
  <si>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</si>
  <si>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</si>
  <si>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</si>
  <si>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</si>
  <si>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</si>
  <si>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</si>
  <si>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</si>
  <si>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</si>
  <si>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</si>
  <si>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</si>
  <si>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</si>
  <si>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</si>
  <si>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</si>
  <si>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</si>
  <si>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</si>
  <si>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</si>
  <si>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</si>
  <si>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</si>
  <si>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</si>
  <si>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</si>
  <si>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</si>
  <si>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</si>
  <si>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</si>
  <si>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</si>
  <si>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</si>
  <si>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</si>
  <si>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</si>
  <si>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</si>
  <si>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</si>
  <si>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</si>
  <si>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</si>
  <si>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</si>
  <si>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</si>
  <si>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</si>
  <si>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</si>
  <si>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</si>
  <si>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</si>
  <si>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</si>
  <si>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</si>
  <si>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</si>
  <si>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</si>
  <si>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</si>
  <si>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</si>
  <si>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</si>
  <si>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</si>
  <si>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</si>
  <si>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</si>
  <si>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</si>
  <si>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</si>
  <si>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</si>
  <si>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</si>
  <si>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</si>
  <si>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</si>
  <si>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</si>
  <si>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</si>
  <si>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</si>
  <si>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</si>
  <si>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</si>
  <si>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</si>
  <si>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</si>
  <si>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</si>
  <si>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</si>
  <si>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</si>
  <si>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</si>
  <si>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</si>
  <si>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</si>
  <si>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</si>
  <si>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</si>
  <si>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</si>
  <si>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</si>
  <si>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</si>
  <si>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</si>
  <si>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</si>
  <si>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</si>
  <si>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</si>
  <si>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</si>
  <si>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</si>
  <si>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</si>
  <si>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</si>
  <si>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</si>
  <si>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</si>
  <si>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</si>
  <si>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</si>
  <si>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</si>
  <si>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</si>
  <si>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</si>
  <si>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</si>
  <si>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</si>
  <si>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</si>
  <si>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</si>
  <si>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</si>
  <si>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</si>
  <si>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</si>
  <si>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</si>
  <si>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</si>
  <si>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</si>
  <si>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</si>
  <si>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</si>
  <si>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</si>
  <si>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</si>
  <si>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</si>
  <si>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</si>
  <si>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</si>
  <si>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</si>
  <si>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</si>
  <si>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</si>
  <si>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</si>
  <si>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</si>
  <si>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</si>
  <si>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</si>
  <si>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</si>
  <si>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</si>
  <si>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</si>
  <si>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</si>
  <si>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</si>
  <si>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</si>
  <si>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</si>
  <si>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</si>
  <si>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</si>
  <si>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</si>
  <si>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</si>
  <si>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</si>
  <si>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</si>
  <si>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</si>
  <si>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</si>
  <si>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</si>
  <si>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</si>
  <si>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</si>
  <si>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</si>
  <si>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</si>
  <si>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</si>
  <si>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</si>
  <si>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</si>
  <si>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</si>
  <si>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</si>
  <si>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</si>
  <si>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</si>
  <si>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</si>
  <si>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</si>
  <si>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</si>
  <si>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</si>
  <si>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</si>
  <si>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</si>
  <si>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</si>
  <si>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</si>
  <si>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</si>
  <si>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</si>
  <si>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</si>
  <si>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</si>
  <si>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</si>
  <si>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</si>
  <si>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</si>
  <si>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</si>
  <si>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</si>
  <si>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</si>
  <si>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</si>
  <si>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</si>
  <si>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</si>
  <si>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</si>
  <si>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</si>
  <si>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</si>
  <si>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</si>
  <si>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</si>
  <si>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</si>
  <si>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</si>
  <si>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</si>
  <si>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</si>
  <si>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</si>
  <si>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</si>
  <si>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</si>
  <si>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</si>
  <si>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</si>
  <si>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</si>
  <si>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</si>
  <si>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</si>
  <si>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</si>
  <si>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</si>
  <si>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</si>
  <si>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</si>
  <si>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</si>
  <si>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</si>
  <si>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</si>
  <si>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</si>
  <si>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</si>
  <si>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</si>
  <si>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</si>
  <si>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</si>
  <si>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</si>
  <si>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</si>
  <si>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</si>
  <si>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</si>
  <si>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</si>
  <si>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</si>
  <si>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</si>
  <si>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</si>
  <si>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</si>
  <si>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</si>
  <si>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</si>
  <si>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</si>
  <si>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</si>
  <si>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</si>
  <si>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</si>
  <si>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</si>
  <si>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</si>
  <si>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</si>
  <si>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</si>
  <si>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</si>
  <si>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</si>
  <si>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</si>
  <si>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</si>
  <si>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</si>
  <si>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</si>
  <si>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</si>
  <si>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</si>
  <si>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</si>
  <si>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</si>
  <si>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</si>
  <si>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</si>
  <si>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</si>
  <si>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</si>
  <si>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</si>
  <si>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</si>
  <si>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</si>
  <si>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</si>
  <si>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</si>
  <si>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</si>
  <si>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</si>
  <si>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</si>
  <si>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</si>
  <si>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</si>
  <si>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</si>
  <si>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</si>
  <si>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</si>
  <si>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</si>
  <si>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</si>
  <si>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</si>
  <si>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</si>
  <si>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</si>
  <si>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</si>
  <si>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</si>
  <si>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</si>
  <si>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</si>
  <si>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</si>
  <si>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</si>
  <si>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</si>
  <si>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</si>
  <si>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</si>
  <si>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</si>
  <si>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</si>
  <si>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</si>
  <si>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</si>
  <si>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</si>
  <si>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</si>
  <si>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</si>
  <si>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</si>
  <si>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</si>
  <si>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</si>
  <si>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</si>
  <si>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</si>
  <si>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</si>
  <si>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</si>
  <si>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</si>
  <si>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</si>
  <si>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</si>
  <si>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</si>
  <si>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</si>
  <si>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</si>
  <si>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</si>
  <si>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</si>
  <si>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</si>
  <si>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</si>
  <si>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</si>
  <si>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</si>
  <si>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</si>
  <si>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</si>
  <si>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</si>
  <si>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</si>
  <si>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</si>
  <si>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</si>
  <si>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</si>
  <si>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</si>
  <si>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</si>
  <si>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</si>
  <si>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</si>
  <si>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</si>
  <si>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</si>
  <si>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</si>
  <si>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</si>
  <si>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</si>
  <si>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</si>
  <si>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</si>
  <si>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</si>
  <si>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</si>
  <si>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</si>
  <si>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</si>
  <si>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</si>
  <si>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</si>
  <si>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</si>
  <si>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</si>
  <si>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</si>
  <si>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</si>
  <si>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</si>
  <si>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</si>
  <si>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</si>
  <si>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</si>
  <si>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</si>
  <si>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</si>
  <si>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</si>
  <si>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</si>
  <si>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</si>
  <si>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</si>
  <si>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</si>
  <si>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</si>
  <si>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</si>
  <si>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</si>
  <si>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</si>
  <si>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</si>
  <si>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</si>
  <si>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</si>
  <si>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</si>
  <si>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</si>
  <si>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</si>
  <si>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</si>
  <si>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</si>
  <si>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</si>
  <si>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</si>
  <si>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</si>
  <si>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</si>
  <si>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</si>
  <si>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</si>
  <si>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</si>
  <si>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</si>
  <si>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</si>
  <si>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</si>
  <si>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</si>
  <si>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</si>
  <si>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</si>
  <si>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</si>
  <si>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</si>
  <si>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</si>
  <si>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</si>
  <si>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</si>
  <si>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</si>
  <si>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</si>
  <si>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</si>
  <si>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</si>
  <si>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</si>
  <si>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</si>
  <si>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</si>
  <si>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</si>
  <si>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Σαφούρη Χρ., Νάσσου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</si>
  <si>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</si>
  <si>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</si>
  <si>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</si>
  <si>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</si>
  <si>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</si>
  <si>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</si>
  <si>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</si>
  <si>
    <t>Πανταζής, Σαφούρη Χρ., Νάσσου, Παναγόπουλος</t>
  </si>
  <si>
    <t>Σαπίδης</t>
  </si>
  <si>
    <t>Αυγέρης</t>
  </si>
  <si>
    <t>Μαραγκός</t>
  </si>
  <si>
    <t>Ζαχαράκη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</si>
</sst>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168</v>
      </c>
    </row>
    <row r="2" spans="1:1" x14ac:dyDescent="0.25">
      <c r="A2" t="s">
        <v>143</v>
      </c>
    </row>
    <row r="3" spans="1:1" x14ac:dyDescent="0.25">
      <c r="A3" t="s">
        <v>243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60</v>
      </c>
    </row>
    <row r="7" spans="1:1" x14ac:dyDescent="0.25">
      <c r="A7" s="6" t="s">
        <v>126</v>
      </c>
    </row>
    <row r="8" spans="1:1" x14ac:dyDescent="0.25">
      <c r="A8" t="s">
        <v>81</v>
      </c>
    </row>
    <row r="9" spans="1:1" x14ac:dyDescent="0.25">
      <c r="A9" t="s">
        <v>240</v>
      </c>
    </row>
    <row r="10" spans="1:1" x14ac:dyDescent="0.25">
      <c r="A10" t="s">
        <v>48</v>
      </c>
    </row>
    <row r="11" spans="1:1" x14ac:dyDescent="0.25">
      <c r="A11" t="s">
        <v>91</v>
      </c>
    </row>
    <row r="12" spans="1:1" x14ac:dyDescent="0.25">
      <c r="A12" t="s">
        <v>16</v>
      </c>
    </row>
    <row r="13" spans="1:1" x14ac:dyDescent="0.25">
      <c r="A13" t="s">
        <v>137</v>
      </c>
    </row>
    <row r="14" spans="1:1" x14ac:dyDescent="0.25">
      <c r="A14" t="s">
        <v>71</v>
      </c>
    </row>
    <row r="15" spans="1:1" x14ac:dyDescent="0.25">
      <c r="A15" t="s">
        <v>241</v>
      </c>
    </row>
    <row r="16" spans="1:1" x14ac:dyDescent="0.25">
      <c r="A16" s="7" t="s">
        <v>65</v>
      </c>
    </row>
    <row r="17" spans="1:1" x14ac:dyDescent="0.25">
      <c r="A17" t="s">
        <v>68</v>
      </c>
    </row>
    <row r="18" spans="1:1" x14ac:dyDescent="0.25">
      <c r="A18" s="26" t="s">
        <v>520</v>
      </c>
    </row>
    <row r="19" spans="1:1" x14ac:dyDescent="0.25">
      <c r="A19" t="s">
        <v>99</v>
      </c>
    </row>
    <row r="20" spans="1:1" x14ac:dyDescent="0.25">
      <c r="A20" t="s">
        <v>242</v>
      </c>
    </row>
    <row r="21" spans="1:1" x14ac:dyDescent="0.25">
      <c r="A21" t="s">
        <v>79</v>
      </c>
    </row>
    <row r="22" spans="1:1" x14ac:dyDescent="0.25">
      <c r="A22" t="s">
        <v>30</v>
      </c>
    </row>
    <row r="23" spans="1:1" x14ac:dyDescent="0.25">
      <c r="A23" s="26" t="s">
        <v>521</v>
      </c>
    </row>
    <row r="24" spans="1:1" x14ac:dyDescent="0.25">
      <c r="A24" t="s">
        <v>76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26" t="s">
        <v>522</v>
      </c>
    </row>
    <row r="28" spans="1:1" x14ac:dyDescent="0.25">
      <c r="A28" s="6" t="s">
        <v>157</v>
      </c>
    </row>
    <row r="29" spans="1:1" x14ac:dyDescent="0.25">
      <c r="A29" s="6" t="s">
        <v>51</v>
      </c>
    </row>
    <row r="30" spans="1:1" x14ac:dyDescent="0.25">
      <c r="A30" t="s">
        <v>175</v>
      </c>
    </row>
    <row r="31" spans="1:1" x14ac:dyDescent="0.25">
      <c r="A31" t="s">
        <v>25</v>
      </c>
    </row>
    <row r="32" spans="1:1" x14ac:dyDescent="0.25">
      <c r="A32" t="s">
        <v>116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502</v>
      </c>
    </row>
    <row r="36" spans="1:1" x14ac:dyDescent="0.25">
      <c r="A36" t="s">
        <v>505</v>
      </c>
    </row>
    <row r="37" spans="1:1" x14ac:dyDescent="0.25">
      <c r="A37" t="s">
        <v>504</v>
      </c>
    </row>
    <row r="38" spans="1:1" x14ac:dyDescent="0.25">
      <c r="A38" t="s">
        <v>503</v>
      </c>
    </row>
    <row r="39" spans="1:1" x14ac:dyDescent="0.25">
      <c r="A39" t="s">
        <v>506</v>
      </c>
    </row>
    <row r="40" spans="1:1" x14ac:dyDescent="0.25">
      <c r="A40" t="s">
        <v>507</v>
      </c>
    </row>
    <row r="41" spans="1:1" x14ac:dyDescent="0.25">
      <c r="A41" t="s">
        <v>508</v>
      </c>
    </row>
    <row r="42" spans="1:1" x14ac:dyDescent="0.25">
      <c r="A42" t="s">
        <v>509</v>
      </c>
    </row>
    <row r="43" spans="1:1" x14ac:dyDescent="0.25">
      <c r="A43" t="s">
        <v>523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Normal="100" workbookViewId="0">
      <pane ySplit="1" topLeftCell="A2" activePane="bottomLeft" state="frozen"/>
      <selection pane="bottomLeft" activeCell="D7" sqref="D7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57</v>
      </c>
      <c r="M1" s="22" t="s">
        <v>346</v>
      </c>
      <c r="N1" s="22" t="s">
        <v>501</v>
      </c>
      <c r="X1" s="18" t="s">
        <v>332</v>
      </c>
      <c r="Y1" s="18" t="s">
        <v>333</v>
      </c>
      <c r="Z1" s="19" t="s">
        <v>334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46196</v>
      </c>
      <c r="F2" s="2">
        <v>0.5</v>
      </c>
      <c r="H2" t="s">
        <v>511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P2" s="25"/>
      <c r="Q2" s="25"/>
      <c r="S2" s="25"/>
      <c r="T2" s="25"/>
      <c r="X2" s="18" t="s">
        <v>193</v>
      </c>
      <c r="Y2" s="18" t="s">
        <v>194</v>
      </c>
      <c r="Z2" s="19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519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P3" s="25"/>
      <c r="S3" s="25"/>
      <c r="T3" s="25"/>
      <c r="X3" s="18" t="s">
        <v>12</v>
      </c>
      <c r="Y3" s="18" t="s">
        <v>13</v>
      </c>
      <c r="Z3" s="21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S4" s="25"/>
      <c r="T4" s="25"/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46190</v>
      </c>
      <c r="F5" s="2">
        <v>0.625</v>
      </c>
      <c r="H5" t="s">
        <v>512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S5" s="25"/>
      <c r="T5" s="25"/>
      <c r="X5" s="18" t="s">
        <v>117</v>
      </c>
      <c r="Y5" s="18" t="s">
        <v>118</v>
      </c>
      <c r="Z5" s="19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H6" t="s">
        <v>513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S6" s="25"/>
      <c r="T6" s="25"/>
      <c r="X6" s="18" t="s">
        <v>185</v>
      </c>
      <c r="Y6" s="18" t="s">
        <v>335</v>
      </c>
      <c r="Z6" s="19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">
        <v>46204</v>
      </c>
      <c r="F7" s="2">
        <v>0.375</v>
      </c>
      <c r="H7" t="s">
        <v>512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S7" s="25"/>
      <c r="T7" s="25"/>
      <c r="X7" s="18" t="s">
        <v>123</v>
      </c>
      <c r="Y7" s="18" t="s">
        <v>336</v>
      </c>
      <c r="Z7" s="19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240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S8" s="25"/>
      <c r="T8" s="25"/>
      <c r="X8" s="18" t="s">
        <v>14</v>
      </c>
      <c r="Y8" s="18" t="s">
        <v>15</v>
      </c>
      <c r="Z8" s="21">
        <v>49</v>
      </c>
    </row>
    <row r="9" spans="1:26" x14ac:dyDescent="0.25">
      <c r="A9" t="s">
        <v>28</v>
      </c>
      <c r="B9" t="s">
        <v>29</v>
      </c>
      <c r="C9">
        <v>2</v>
      </c>
      <c r="D9" t="s">
        <v>520</v>
      </c>
      <c r="E9" s="1">
        <v>46181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S9" s="25"/>
      <c r="T9" s="25"/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S10" s="25"/>
      <c r="T10" s="25"/>
      <c r="X10" s="18" t="s">
        <v>195</v>
      </c>
      <c r="Y10" s="18" t="s">
        <v>337</v>
      </c>
      <c r="Z10" s="19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514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S11" s="25"/>
      <c r="T11" s="25"/>
      <c r="X11" s="18" t="s">
        <v>9</v>
      </c>
      <c r="Y11" s="18" t="s">
        <v>10</v>
      </c>
      <c r="Z11" s="21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S12" s="25"/>
      <c r="T12" s="25"/>
      <c r="X12" s="18" t="s">
        <v>54</v>
      </c>
      <c r="Y12" s="18" t="s">
        <v>55</v>
      </c>
      <c r="Z12" s="19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S13" s="25"/>
      <c r="T13" s="25"/>
      <c r="X13" s="18" t="s">
        <v>338</v>
      </c>
      <c r="Y13" s="18" t="s">
        <v>339</v>
      </c>
      <c r="Z13" s="19">
        <v>8</v>
      </c>
    </row>
    <row r="14" spans="1:26" x14ac:dyDescent="0.25">
      <c r="A14" t="s">
        <v>40</v>
      </c>
      <c r="B14" t="s">
        <v>216</v>
      </c>
      <c r="C14">
        <v>2</v>
      </c>
      <c r="D14" t="s">
        <v>30</v>
      </c>
      <c r="E14" s="1">
        <v>46190</v>
      </c>
      <c r="F14" s="2">
        <v>0.75</v>
      </c>
      <c r="H14" t="s">
        <v>508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S14" s="25"/>
      <c r="T14" s="25"/>
      <c r="X14" s="18" t="s">
        <v>109</v>
      </c>
      <c r="Y14" s="18" t="s">
        <v>110</v>
      </c>
      <c r="Z14" s="19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">
        <v>46204</v>
      </c>
      <c r="F15" s="2">
        <v>0.5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S15" s="25"/>
      <c r="T15" s="25"/>
      <c r="X15" s="18" t="s">
        <v>87</v>
      </c>
      <c r="Y15" s="18" t="s">
        <v>88</v>
      </c>
      <c r="Z15" s="19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241</v>
      </c>
      <c r="E16" s="1">
        <v>46199</v>
      </c>
      <c r="F16" s="2">
        <v>0.375</v>
      </c>
      <c r="H16" t="s">
        <v>508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S16" s="25"/>
      <c r="T16" s="25"/>
      <c r="X16" s="18" t="s">
        <v>119</v>
      </c>
      <c r="Y16" s="18" t="s">
        <v>120</v>
      </c>
      <c r="Z16" s="19">
        <v>19</v>
      </c>
    </row>
    <row r="17" spans="1:26" x14ac:dyDescent="0.25">
      <c r="A17" s="4" t="s">
        <v>46</v>
      </c>
      <c r="B17" t="s">
        <v>47</v>
      </c>
      <c r="C17">
        <v>3</v>
      </c>
      <c r="D17" t="s">
        <v>48</v>
      </c>
      <c r="E17" s="1">
        <v>46181</v>
      </c>
      <c r="F17" s="2">
        <v>0.375</v>
      </c>
      <c r="H17" t="s">
        <v>507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S17" s="25"/>
      <c r="T17" s="25"/>
      <c r="X17" s="18" t="s">
        <v>186</v>
      </c>
      <c r="Y17" s="18" t="s">
        <v>187</v>
      </c>
      <c r="Z17" s="19">
        <v>3</v>
      </c>
    </row>
    <row r="18" spans="1:26" x14ac:dyDescent="0.25">
      <c r="A18" s="4" t="s">
        <v>49</v>
      </c>
      <c r="B18" t="s">
        <v>50</v>
      </c>
      <c r="C18">
        <v>3</v>
      </c>
      <c r="D18" t="s">
        <v>175</v>
      </c>
      <c r="E18" s="1">
        <v>46191</v>
      </c>
      <c r="F18" s="2">
        <v>0.75</v>
      </c>
      <c r="H18" t="s">
        <v>509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S18" s="25"/>
      <c r="T18" s="25"/>
      <c r="X18" s="18" t="s">
        <v>188</v>
      </c>
      <c r="Y18" s="18" t="s">
        <v>189</v>
      </c>
      <c r="Z18" s="19">
        <v>6</v>
      </c>
    </row>
    <row r="19" spans="1:26" x14ac:dyDescent="0.25">
      <c r="A19" s="4" t="s">
        <v>52</v>
      </c>
      <c r="B19" t="s">
        <v>53</v>
      </c>
      <c r="C19">
        <v>3</v>
      </c>
      <c r="D19" t="s">
        <v>33</v>
      </c>
      <c r="E19" s="1">
        <v>46195</v>
      </c>
      <c r="F19" s="2">
        <v>0.375</v>
      </c>
      <c r="H19" t="s">
        <v>507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S19" s="25"/>
      <c r="T19" s="25"/>
      <c r="X19" s="18" t="s">
        <v>135</v>
      </c>
      <c r="Y19" s="18" t="s">
        <v>136</v>
      </c>
      <c r="Z19" s="19">
        <v>3</v>
      </c>
    </row>
    <row r="20" spans="1:26" x14ac:dyDescent="0.25">
      <c r="A20" s="4" t="s">
        <v>54</v>
      </c>
      <c r="B20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516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S20" s="25"/>
      <c r="T20" s="25"/>
      <c r="X20" s="18" t="s">
        <v>183</v>
      </c>
      <c r="Y20" s="18" t="s">
        <v>184</v>
      </c>
      <c r="Z20" s="19">
        <v>4</v>
      </c>
    </row>
    <row r="21" spans="1:26" x14ac:dyDescent="0.25">
      <c r="A21" s="4" t="s">
        <v>56</v>
      </c>
      <c r="B21" t="s">
        <v>57</v>
      </c>
      <c r="C21">
        <v>3</v>
      </c>
      <c r="D21" t="s">
        <v>30</v>
      </c>
      <c r="E21" s="1">
        <v>46188</v>
      </c>
      <c r="F21" s="2">
        <v>0.375</v>
      </c>
      <c r="H21" t="s">
        <v>510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S21" s="25"/>
      <c r="T21" s="25"/>
      <c r="X21" s="18" t="s">
        <v>108</v>
      </c>
      <c r="Y21" s="18" t="s">
        <v>221</v>
      </c>
      <c r="Z21" s="19">
        <v>4</v>
      </c>
    </row>
    <row r="22" spans="1:26" x14ac:dyDescent="0.25">
      <c r="A22" s="4" t="s">
        <v>58</v>
      </c>
      <c r="B22" t="s">
        <v>59</v>
      </c>
      <c r="C22">
        <v>3</v>
      </c>
      <c r="D22" t="s">
        <v>242</v>
      </c>
      <c r="E22" s="1">
        <v>46192</v>
      </c>
      <c r="F22" s="2">
        <v>0.375</v>
      </c>
      <c r="H22" t="s">
        <v>513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S22" s="25"/>
      <c r="T22" s="25"/>
      <c r="X22" s="18" t="s">
        <v>46</v>
      </c>
      <c r="Y22" s="18" t="s">
        <v>47</v>
      </c>
      <c r="Z22" s="19">
        <v>33</v>
      </c>
    </row>
    <row r="23" spans="1:26" x14ac:dyDescent="0.25">
      <c r="A23" s="4" t="s">
        <v>61</v>
      </c>
      <c r="B23" t="s">
        <v>62</v>
      </c>
      <c r="C23">
        <v>4</v>
      </c>
      <c r="D23" t="s">
        <v>48</v>
      </c>
      <c r="E23" s="1">
        <v>46183</v>
      </c>
      <c r="F23" s="3">
        <v>0.5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S23" s="25"/>
      <c r="T23" s="25"/>
      <c r="X23" s="18" t="s">
        <v>58</v>
      </c>
      <c r="Y23" s="18" t="s">
        <v>59</v>
      </c>
      <c r="Z23" s="19">
        <v>44</v>
      </c>
    </row>
    <row r="24" spans="1:26" x14ac:dyDescent="0.25">
      <c r="A24" s="4" t="s">
        <v>63</v>
      </c>
      <c r="B24" t="s">
        <v>64</v>
      </c>
      <c r="C24">
        <v>4</v>
      </c>
      <c r="D24" t="s">
        <v>65</v>
      </c>
      <c r="E24" s="1">
        <v>46188</v>
      </c>
      <c r="F24" s="3">
        <v>0.625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S24" s="25"/>
      <c r="T24" s="25"/>
      <c r="X24" s="18" t="s">
        <v>105</v>
      </c>
      <c r="Y24" s="18" t="s">
        <v>313</v>
      </c>
      <c r="Z24" s="19">
        <v>38</v>
      </c>
    </row>
    <row r="25" spans="1:26" x14ac:dyDescent="0.25">
      <c r="A25" s="4" t="s">
        <v>66</v>
      </c>
      <c r="B25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508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S25" s="25"/>
      <c r="T25" s="25"/>
      <c r="X25" s="18" t="s">
        <v>82</v>
      </c>
      <c r="Y25" s="18" t="s">
        <v>83</v>
      </c>
      <c r="Z25" s="19">
        <v>44</v>
      </c>
    </row>
    <row r="26" spans="1:26" x14ac:dyDescent="0.25">
      <c r="A26" s="4" t="s">
        <v>69</v>
      </c>
      <c r="B26" t="s">
        <v>70</v>
      </c>
      <c r="C26">
        <v>4</v>
      </c>
      <c r="D26" t="s">
        <v>116</v>
      </c>
      <c r="E26" s="1">
        <v>46181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S26" s="25"/>
      <c r="T26" s="25"/>
      <c r="X26" s="18" t="s">
        <v>52</v>
      </c>
      <c r="Y26" s="18" t="s">
        <v>53</v>
      </c>
      <c r="Z26" s="19">
        <v>18</v>
      </c>
    </row>
    <row r="27" spans="1:26" x14ac:dyDescent="0.25">
      <c r="A27" s="4" t="s">
        <v>72</v>
      </c>
      <c r="B27" t="s">
        <v>73</v>
      </c>
      <c r="C27">
        <v>4</v>
      </c>
      <c r="D27" t="s">
        <v>19</v>
      </c>
      <c r="E27" s="1">
        <v>46196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S27" s="25"/>
      <c r="T27" s="25"/>
      <c r="X27" s="18" t="s">
        <v>111</v>
      </c>
      <c r="Y27" s="18" t="s">
        <v>112</v>
      </c>
      <c r="Z27" s="19">
        <v>25</v>
      </c>
    </row>
    <row r="28" spans="1:26" x14ac:dyDescent="0.25">
      <c r="A28" s="4" t="s">
        <v>74</v>
      </c>
      <c r="B28" t="s">
        <v>75</v>
      </c>
      <c r="C28">
        <v>4</v>
      </c>
      <c r="D28" t="s">
        <v>76</v>
      </c>
      <c r="E28" s="1">
        <v>46191</v>
      </c>
      <c r="F28" s="2">
        <v>0.375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S28" s="25"/>
      <c r="T28" s="25"/>
      <c r="X28" s="18" t="s">
        <v>86</v>
      </c>
      <c r="Y28" s="18" t="s">
        <v>218</v>
      </c>
      <c r="Z28" s="19">
        <v>46</v>
      </c>
    </row>
    <row r="29" spans="1:26" x14ac:dyDescent="0.25">
      <c r="A29" s="4" t="s">
        <v>77</v>
      </c>
      <c r="B29" t="s">
        <v>78</v>
      </c>
      <c r="C29">
        <v>5</v>
      </c>
      <c r="D29" t="s">
        <v>79</v>
      </c>
      <c r="E29" s="1">
        <v>46190</v>
      </c>
      <c r="F29" s="2">
        <v>0.375</v>
      </c>
      <c r="H29" t="s">
        <v>513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S29" s="25"/>
      <c r="T29" s="25"/>
      <c r="X29" s="18" t="s">
        <v>181</v>
      </c>
      <c r="Y29" s="18" t="s">
        <v>182</v>
      </c>
      <c r="Z29" s="19">
        <v>33</v>
      </c>
    </row>
    <row r="30" spans="1:26" x14ac:dyDescent="0.25">
      <c r="A30" s="4" t="s">
        <v>80</v>
      </c>
      <c r="B30" t="s">
        <v>217</v>
      </c>
      <c r="C30">
        <v>5</v>
      </c>
      <c r="D30" t="s">
        <v>81</v>
      </c>
      <c r="E30" s="1">
        <v>46185</v>
      </c>
      <c r="F30" s="3">
        <v>0.5</v>
      </c>
      <c r="H30" t="s">
        <v>509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S30" s="25"/>
      <c r="T30" s="25"/>
      <c r="X30" s="18" t="s">
        <v>179</v>
      </c>
      <c r="Y30" s="18" t="s">
        <v>180</v>
      </c>
      <c r="Z30" s="19">
        <v>61</v>
      </c>
    </row>
    <row r="31" spans="1:26" x14ac:dyDescent="0.25">
      <c r="A31" s="4" t="s">
        <v>82</v>
      </c>
      <c r="B31" t="s">
        <v>83</v>
      </c>
      <c r="C31">
        <v>5</v>
      </c>
      <c r="D31" t="s">
        <v>60</v>
      </c>
      <c r="E31" s="1">
        <v>46182</v>
      </c>
      <c r="F31" s="2">
        <v>0.75</v>
      </c>
      <c r="H31" t="s">
        <v>515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S31" s="25"/>
      <c r="T31" s="25"/>
      <c r="X31" s="18" t="s">
        <v>49</v>
      </c>
      <c r="Y31" s="18" t="s">
        <v>50</v>
      </c>
      <c r="Z31" s="19">
        <v>24</v>
      </c>
    </row>
    <row r="32" spans="1:26" x14ac:dyDescent="0.25">
      <c r="A32" s="4" t="s">
        <v>84</v>
      </c>
      <c r="B32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517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S32" s="25"/>
      <c r="T32" s="25"/>
      <c r="X32" s="18" t="s">
        <v>80</v>
      </c>
      <c r="Y32" s="18" t="s">
        <v>217</v>
      </c>
      <c r="Z32" s="19">
        <v>21</v>
      </c>
    </row>
    <row r="33" spans="1:26" x14ac:dyDescent="0.25">
      <c r="A33" s="4" t="s">
        <v>86</v>
      </c>
      <c r="B33" t="s">
        <v>218</v>
      </c>
      <c r="C33">
        <v>5</v>
      </c>
      <c r="D33" t="s">
        <v>76</v>
      </c>
      <c r="E33" s="1">
        <v>46199</v>
      </c>
      <c r="F33" s="3">
        <v>0.625</v>
      </c>
      <c r="H33" t="s">
        <v>515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S33" s="25"/>
      <c r="T33" s="25"/>
      <c r="X33" s="18" t="s">
        <v>84</v>
      </c>
      <c r="Y33" s="18" t="s">
        <v>85</v>
      </c>
      <c r="Z33" s="19">
        <v>65</v>
      </c>
    </row>
    <row r="34" spans="1:26" x14ac:dyDescent="0.25">
      <c r="A34" s="4" t="s">
        <v>87</v>
      </c>
      <c r="B34" t="s">
        <v>88</v>
      </c>
      <c r="C34">
        <v>5</v>
      </c>
      <c r="D34" t="s">
        <v>71</v>
      </c>
      <c r="E34" s="1">
        <v>46192</v>
      </c>
      <c r="F34" s="3">
        <v>0.625</v>
      </c>
      <c r="H34" t="s">
        <v>510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S34" s="25"/>
      <c r="T34" s="25"/>
      <c r="X34" s="18" t="s">
        <v>106</v>
      </c>
      <c r="Y34" s="18" t="s">
        <v>107</v>
      </c>
      <c r="Z34" s="19">
        <v>55</v>
      </c>
    </row>
    <row r="35" spans="1:26" x14ac:dyDescent="0.25">
      <c r="A35" s="4" t="s">
        <v>89</v>
      </c>
      <c r="B35" t="s">
        <v>90</v>
      </c>
      <c r="C35">
        <v>6</v>
      </c>
      <c r="D35" t="s">
        <v>91</v>
      </c>
      <c r="E35" s="1">
        <v>46191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S35" s="25"/>
      <c r="T35" s="25"/>
      <c r="X35" s="18" t="s">
        <v>127</v>
      </c>
      <c r="Y35" s="18" t="s">
        <v>128</v>
      </c>
      <c r="Z35" s="19">
        <v>16</v>
      </c>
    </row>
    <row r="36" spans="1:26" x14ac:dyDescent="0.25">
      <c r="A36" s="4" t="s">
        <v>92</v>
      </c>
      <c r="B36" t="s">
        <v>93</v>
      </c>
      <c r="C36">
        <v>6</v>
      </c>
      <c r="D36" t="s">
        <v>71</v>
      </c>
      <c r="E36" s="1">
        <v>46185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S36" s="25"/>
      <c r="T36" s="25"/>
      <c r="X36" s="18" t="s">
        <v>203</v>
      </c>
      <c r="Y36" s="18" t="s">
        <v>237</v>
      </c>
      <c r="Z36" s="19">
        <v>16</v>
      </c>
    </row>
    <row r="37" spans="1:26" x14ac:dyDescent="0.25">
      <c r="A37" s="4" t="s">
        <v>94</v>
      </c>
      <c r="B37" t="s">
        <v>95</v>
      </c>
      <c r="C37">
        <v>6</v>
      </c>
      <c r="D37" t="s">
        <v>60</v>
      </c>
      <c r="E37" s="1">
        <v>46203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S37" s="25"/>
      <c r="T37" s="25"/>
      <c r="X37" s="18" t="s">
        <v>202</v>
      </c>
      <c r="Y37" s="18" t="s">
        <v>236</v>
      </c>
      <c r="Z37" s="19">
        <v>19</v>
      </c>
    </row>
    <row r="38" spans="1:26" x14ac:dyDescent="0.25">
      <c r="A38" s="4" t="s">
        <v>96</v>
      </c>
      <c r="B3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512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S38" s="25"/>
      <c r="T38" s="25"/>
      <c r="X38" s="18" t="s">
        <v>200</v>
      </c>
      <c r="Y38" s="18" t="s">
        <v>201</v>
      </c>
      <c r="Z38" s="19">
        <v>22</v>
      </c>
    </row>
    <row r="39" spans="1:26" x14ac:dyDescent="0.25">
      <c r="A39" s="4" t="s">
        <v>98</v>
      </c>
      <c r="B39" t="s">
        <v>219</v>
      </c>
      <c r="C39">
        <v>6</v>
      </c>
      <c r="D39" t="s">
        <v>523</v>
      </c>
      <c r="E39" s="1">
        <v>46197</v>
      </c>
      <c r="F39" s="2">
        <v>0.375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S39" s="25"/>
      <c r="T39" s="25"/>
      <c r="X39" s="18" t="s">
        <v>124</v>
      </c>
      <c r="Y39" s="18" t="s">
        <v>125</v>
      </c>
      <c r="Z39" s="19">
        <v>18</v>
      </c>
    </row>
    <row r="40" spans="1:26" x14ac:dyDescent="0.25">
      <c r="A40" s="4" t="s">
        <v>100</v>
      </c>
      <c r="B40" t="s">
        <v>101</v>
      </c>
      <c r="C40">
        <v>6</v>
      </c>
      <c r="D40" t="s">
        <v>521</v>
      </c>
      <c r="E40" s="1">
        <v>46195</v>
      </c>
      <c r="F40" s="2">
        <v>0.75</v>
      </c>
      <c r="H40" t="s">
        <v>508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S40" s="25"/>
      <c r="T40" s="25"/>
      <c r="X40" s="18" t="s">
        <v>56</v>
      </c>
      <c r="Y40" s="18" t="s">
        <v>57</v>
      </c>
      <c r="Z40" s="19">
        <v>38</v>
      </c>
    </row>
    <row r="41" spans="1:26" x14ac:dyDescent="0.25">
      <c r="A41" s="4" t="s">
        <v>103</v>
      </c>
      <c r="B41" t="s">
        <v>104</v>
      </c>
      <c r="C41">
        <v>6</v>
      </c>
      <c r="D41" t="s">
        <v>65</v>
      </c>
      <c r="E41" s="1">
        <v>46189</v>
      </c>
      <c r="F41" s="2">
        <v>0.75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S41" s="25"/>
      <c r="T41" s="25"/>
      <c r="X41" s="18" t="s">
        <v>115</v>
      </c>
      <c r="Y41" s="18" t="s">
        <v>340</v>
      </c>
      <c r="Z41" s="19">
        <v>20</v>
      </c>
    </row>
    <row r="42" spans="1:26" x14ac:dyDescent="0.25">
      <c r="A42" s="4" t="s">
        <v>105</v>
      </c>
      <c r="B42" t="s">
        <v>220</v>
      </c>
      <c r="C42">
        <v>7</v>
      </c>
      <c r="D42" t="s">
        <v>91</v>
      </c>
      <c r="E42" s="1">
        <v>46197</v>
      </c>
      <c r="F42" s="3">
        <v>0.625</v>
      </c>
      <c r="H42" t="s">
        <v>518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S42" s="25"/>
      <c r="T42" s="25"/>
      <c r="X42" s="18" t="s">
        <v>20</v>
      </c>
      <c r="Y42" s="18" t="s">
        <v>21</v>
      </c>
      <c r="Z42" s="21">
        <v>39</v>
      </c>
    </row>
    <row r="43" spans="1:26" x14ac:dyDescent="0.25">
      <c r="A43" s="4" t="s">
        <v>106</v>
      </c>
      <c r="B43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515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S43" s="25"/>
      <c r="T43" s="25"/>
      <c r="X43" s="18" t="s">
        <v>23</v>
      </c>
      <c r="Y43" s="18" t="s">
        <v>24</v>
      </c>
      <c r="Z43" s="21">
        <v>53</v>
      </c>
    </row>
    <row r="44" spans="1:26" x14ac:dyDescent="0.25">
      <c r="A44" s="5" t="s">
        <v>108</v>
      </c>
      <c r="B44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S44" s="25"/>
      <c r="T44" s="25"/>
      <c r="X44" s="18" t="s">
        <v>208</v>
      </c>
      <c r="Y44" s="18" t="s">
        <v>209</v>
      </c>
      <c r="Z44" s="19">
        <v>18</v>
      </c>
    </row>
    <row r="45" spans="1:26" x14ac:dyDescent="0.25">
      <c r="A45" s="5" t="s">
        <v>109</v>
      </c>
      <c r="B45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S45" s="25"/>
      <c r="T45" s="25"/>
      <c r="X45" s="18" t="s">
        <v>77</v>
      </c>
      <c r="Y45" s="18" t="s">
        <v>78</v>
      </c>
      <c r="Z45" s="19">
        <v>53</v>
      </c>
    </row>
    <row r="46" spans="1:26" x14ac:dyDescent="0.25">
      <c r="A46" s="5" t="s">
        <v>111</v>
      </c>
      <c r="B46" t="s">
        <v>112</v>
      </c>
      <c r="C46">
        <v>7</v>
      </c>
      <c r="D46" t="s">
        <v>22</v>
      </c>
      <c r="E46" s="1">
        <v>46195</v>
      </c>
      <c r="F46" s="3">
        <v>0.5</v>
      </c>
      <c r="H46" t="s">
        <v>507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S46" s="25"/>
      <c r="T46" s="25"/>
      <c r="X46" s="18" t="s">
        <v>211</v>
      </c>
      <c r="Y46" s="18" t="s">
        <v>212</v>
      </c>
      <c r="Z46" s="19">
        <v>10</v>
      </c>
    </row>
    <row r="47" spans="1:26" x14ac:dyDescent="0.25">
      <c r="A47" s="5" t="s">
        <v>113</v>
      </c>
      <c r="B47" t="s">
        <v>114</v>
      </c>
      <c r="C47">
        <v>7</v>
      </c>
      <c r="J47" s="22">
        <f t="shared" si="0"/>
        <v>0</v>
      </c>
      <c r="K47" s="22">
        <v>0</v>
      </c>
      <c r="S47" s="25"/>
      <c r="T47" s="25"/>
      <c r="X47" s="18" t="s">
        <v>196</v>
      </c>
      <c r="Y47" s="18" t="s">
        <v>341</v>
      </c>
      <c r="Z47" s="19">
        <v>5</v>
      </c>
    </row>
    <row r="48" spans="1:26" x14ac:dyDescent="0.25">
      <c r="A48" s="5" t="s">
        <v>115</v>
      </c>
      <c r="B4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S48" s="25"/>
      <c r="T48" s="25"/>
      <c r="X48" s="18" t="s">
        <v>138</v>
      </c>
      <c r="Y48" s="18" t="s">
        <v>139</v>
      </c>
      <c r="Z48" s="19">
        <v>3</v>
      </c>
    </row>
    <row r="49" spans="1:26" x14ac:dyDescent="0.25">
      <c r="A49" s="5" t="s">
        <v>117</v>
      </c>
      <c r="B49" t="s">
        <v>118</v>
      </c>
      <c r="C49">
        <v>7</v>
      </c>
      <c r="D49" t="s">
        <v>116</v>
      </c>
      <c r="E49" s="1">
        <v>46191</v>
      </c>
      <c r="F49" s="2">
        <v>0.5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S49" s="25"/>
      <c r="T49" s="25"/>
      <c r="X49" s="18" t="s">
        <v>17</v>
      </c>
      <c r="Y49" s="18" t="s">
        <v>18</v>
      </c>
      <c r="Z49" s="21">
        <v>51</v>
      </c>
    </row>
    <row r="50" spans="1:26" x14ac:dyDescent="0.25">
      <c r="A50" s="5" t="s">
        <v>119</v>
      </c>
      <c r="B50" t="s">
        <v>120</v>
      </c>
      <c r="C50">
        <v>7</v>
      </c>
      <c r="D50" t="s">
        <v>241</v>
      </c>
      <c r="E50" s="1">
        <v>46189</v>
      </c>
      <c r="F50" s="3">
        <v>0.625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S50" s="25"/>
      <c r="T50" s="25"/>
      <c r="X50" s="18" t="s">
        <v>144</v>
      </c>
      <c r="Y50" s="18" t="s">
        <v>225</v>
      </c>
      <c r="Z50" s="19">
        <v>2</v>
      </c>
    </row>
    <row r="51" spans="1:26" x14ac:dyDescent="0.25">
      <c r="A51" s="5" t="s">
        <v>121</v>
      </c>
      <c r="B51" t="s">
        <v>122</v>
      </c>
      <c r="C51">
        <v>7</v>
      </c>
      <c r="J51" s="22">
        <f t="shared" si="0"/>
        <v>0</v>
      </c>
      <c r="K51" s="22">
        <v>0</v>
      </c>
      <c r="S51" s="25"/>
      <c r="T51" s="25"/>
      <c r="X51" s="18" t="s">
        <v>141</v>
      </c>
      <c r="Y51" s="18" t="s">
        <v>142</v>
      </c>
      <c r="Z51" s="19">
        <v>8</v>
      </c>
    </row>
    <row r="52" spans="1:26" x14ac:dyDescent="0.25">
      <c r="A52" s="5" t="s">
        <v>123</v>
      </c>
      <c r="B52" t="s">
        <v>223</v>
      </c>
      <c r="C52">
        <v>7</v>
      </c>
      <c r="D52" t="s">
        <v>16</v>
      </c>
      <c r="E52" s="1">
        <v>46181</v>
      </c>
      <c r="F52" s="2">
        <v>0.75</v>
      </c>
      <c r="H52" t="s">
        <v>509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S52" s="25"/>
      <c r="T52" s="25"/>
      <c r="X52" s="18" t="s">
        <v>61</v>
      </c>
      <c r="Y52" s="18" t="s">
        <v>62</v>
      </c>
      <c r="Z52" s="19">
        <v>2</v>
      </c>
    </row>
    <row r="53" spans="1:26" x14ac:dyDescent="0.25">
      <c r="A53" s="5" t="s">
        <v>124</v>
      </c>
      <c r="B53" t="s">
        <v>125</v>
      </c>
      <c r="C53">
        <v>7</v>
      </c>
      <c r="D53" t="s">
        <v>242</v>
      </c>
      <c r="E53" s="1">
        <v>46192</v>
      </c>
      <c r="F53" s="2">
        <v>0.75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S53" s="25"/>
      <c r="T53" s="25"/>
      <c r="X53" s="18" t="s">
        <v>34</v>
      </c>
      <c r="Y53" s="18" t="s">
        <v>35</v>
      </c>
      <c r="Z53" s="19">
        <v>11</v>
      </c>
    </row>
    <row r="54" spans="1:26" x14ac:dyDescent="0.25">
      <c r="A54" s="5" t="s">
        <v>127</v>
      </c>
      <c r="B54" t="s">
        <v>128</v>
      </c>
      <c r="C54">
        <v>7</v>
      </c>
      <c r="D54" t="s">
        <v>242</v>
      </c>
      <c r="E54" s="1">
        <v>46189</v>
      </c>
      <c r="F54" s="3">
        <v>0.625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S54" s="25"/>
      <c r="T54" s="25"/>
      <c r="X54" s="18" t="s">
        <v>36</v>
      </c>
      <c r="Y54" s="18" t="s">
        <v>37</v>
      </c>
      <c r="Z54" s="19">
        <v>1</v>
      </c>
    </row>
    <row r="55" spans="1:26" x14ac:dyDescent="0.25">
      <c r="A55" s="5" t="s">
        <v>129</v>
      </c>
      <c r="B55" t="s">
        <v>130</v>
      </c>
      <c r="C55">
        <v>7</v>
      </c>
      <c r="J55" s="22">
        <f t="shared" si="0"/>
        <v>0</v>
      </c>
      <c r="S55" s="25"/>
      <c r="T55" s="25"/>
      <c r="X55" s="18" t="s">
        <v>96</v>
      </c>
      <c r="Y55" s="18" t="s">
        <v>97</v>
      </c>
      <c r="Z55" s="19">
        <v>9</v>
      </c>
    </row>
    <row r="56" spans="1:26" x14ac:dyDescent="0.25">
      <c r="A56" s="5" t="s">
        <v>131</v>
      </c>
      <c r="B56" t="s">
        <v>132</v>
      </c>
      <c r="C56">
        <v>7</v>
      </c>
      <c r="J56" s="22">
        <f t="shared" si="0"/>
        <v>0</v>
      </c>
      <c r="S56" s="25"/>
      <c r="T56" s="25"/>
      <c r="X56" s="18" t="s">
        <v>69</v>
      </c>
      <c r="Y56" s="18" t="s">
        <v>70</v>
      </c>
      <c r="Z56" s="19">
        <v>1</v>
      </c>
    </row>
    <row r="57" spans="1:26" x14ac:dyDescent="0.25">
      <c r="A57" s="5" t="s">
        <v>133</v>
      </c>
      <c r="B57" t="s">
        <v>134</v>
      </c>
      <c r="C57">
        <v>7</v>
      </c>
      <c r="D57" t="s">
        <v>521</v>
      </c>
      <c r="E57" s="1">
        <v>46195</v>
      </c>
      <c r="F57" s="3">
        <v>0.5</v>
      </c>
      <c r="J57" s="22">
        <f t="shared" si="0"/>
        <v>0</v>
      </c>
      <c r="S57" s="25"/>
      <c r="T57" s="25"/>
      <c r="X57" s="18" t="s">
        <v>164</v>
      </c>
      <c r="Y57" s="18" t="s">
        <v>165</v>
      </c>
      <c r="Z57" s="19">
        <v>1</v>
      </c>
    </row>
    <row r="58" spans="1:26" x14ac:dyDescent="0.25">
      <c r="A58" s="5" t="s">
        <v>135</v>
      </c>
      <c r="B58" t="s">
        <v>136</v>
      </c>
      <c r="C58">
        <v>7</v>
      </c>
      <c r="D58" t="s">
        <v>137</v>
      </c>
      <c r="E58" s="1">
        <v>46199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S58" s="25"/>
      <c r="T58" s="25"/>
      <c r="X58" s="18" t="s">
        <v>92</v>
      </c>
      <c r="Y58" s="18" t="s">
        <v>93</v>
      </c>
      <c r="Z58" s="19">
        <v>2</v>
      </c>
    </row>
    <row r="59" spans="1:26" x14ac:dyDescent="0.25">
      <c r="A59" s="5" t="s">
        <v>138</v>
      </c>
      <c r="B59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S59" s="25"/>
      <c r="T59" s="25"/>
      <c r="X59" s="18" t="s">
        <v>89</v>
      </c>
      <c r="Y59" s="18" t="s">
        <v>90</v>
      </c>
      <c r="Z59" s="19">
        <v>8</v>
      </c>
    </row>
    <row r="60" spans="1:26" x14ac:dyDescent="0.25">
      <c r="A60" s="4" t="s">
        <v>140</v>
      </c>
      <c r="B60" t="s">
        <v>224</v>
      </c>
      <c r="C60">
        <v>8</v>
      </c>
      <c r="D60" t="s">
        <v>76</v>
      </c>
      <c r="E60" s="1">
        <v>46188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S60" s="25"/>
      <c r="T60" s="25"/>
      <c r="X60" s="18" t="s">
        <v>63</v>
      </c>
      <c r="Y60" s="18" t="s">
        <v>64</v>
      </c>
      <c r="Z60" s="19">
        <v>1</v>
      </c>
    </row>
    <row r="61" spans="1:26" x14ac:dyDescent="0.25">
      <c r="A61" s="4" t="s">
        <v>141</v>
      </c>
      <c r="B61" t="s">
        <v>142</v>
      </c>
      <c r="C61">
        <v>8</v>
      </c>
      <c r="D61" t="s">
        <v>520</v>
      </c>
      <c r="E61" s="1">
        <v>46197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S61" s="25"/>
      <c r="T61" s="25"/>
      <c r="X61" s="18" t="s">
        <v>94</v>
      </c>
      <c r="Y61" s="18" t="s">
        <v>95</v>
      </c>
      <c r="Z61" s="19">
        <v>2</v>
      </c>
    </row>
    <row r="62" spans="1:26" x14ac:dyDescent="0.25">
      <c r="A62" s="5" t="s">
        <v>144</v>
      </c>
      <c r="B62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509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S62" s="25"/>
      <c r="T62" s="25"/>
      <c r="X62" s="18" t="s">
        <v>74</v>
      </c>
      <c r="Y62" s="18" t="s">
        <v>75</v>
      </c>
      <c r="Z62" s="19">
        <v>4</v>
      </c>
    </row>
    <row r="63" spans="1:26" x14ac:dyDescent="0.25">
      <c r="A63" s="5" t="s">
        <v>145</v>
      </c>
      <c r="B63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S63" s="25"/>
      <c r="T63" s="25"/>
      <c r="X63" s="18" t="s">
        <v>140</v>
      </c>
      <c r="Y63" s="18" t="s">
        <v>224</v>
      </c>
      <c r="Z63" s="19">
        <v>3</v>
      </c>
    </row>
    <row r="64" spans="1:26" x14ac:dyDescent="0.25">
      <c r="A64" s="5" t="s">
        <v>147</v>
      </c>
      <c r="B64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0</v>
      </c>
      <c r="S64" s="25"/>
      <c r="T64" s="25"/>
      <c r="X64" s="18" t="s">
        <v>31</v>
      </c>
      <c r="Y64" s="18" t="s">
        <v>32</v>
      </c>
      <c r="Z64" s="19">
        <v>16</v>
      </c>
    </row>
    <row r="65" spans="1:26" x14ac:dyDescent="0.25">
      <c r="A65" s="5" t="s">
        <v>148</v>
      </c>
      <c r="B65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S65" s="25"/>
      <c r="T65" s="25"/>
      <c r="X65" s="18" t="s">
        <v>40</v>
      </c>
      <c r="Y65" s="18" t="s">
        <v>343</v>
      </c>
      <c r="Z65" s="19">
        <v>1</v>
      </c>
    </row>
    <row r="66" spans="1:26" x14ac:dyDescent="0.25">
      <c r="A66" s="5" t="s">
        <v>150</v>
      </c>
      <c r="B66" t="s">
        <v>151</v>
      </c>
      <c r="C66">
        <v>8</v>
      </c>
      <c r="J66" s="22">
        <f t="shared" ref="J66:J101" si="1">SUM(M66:N66)</f>
        <v>0</v>
      </c>
      <c r="S66" s="25"/>
      <c r="T66" s="25"/>
      <c r="X66" s="18" t="s">
        <v>145</v>
      </c>
      <c r="Y66" s="18" t="s">
        <v>146</v>
      </c>
      <c r="Z66" s="19">
        <v>1</v>
      </c>
    </row>
    <row r="67" spans="1:26" x14ac:dyDescent="0.25">
      <c r="A67" s="5" t="s">
        <v>152</v>
      </c>
      <c r="B67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S67" s="25"/>
      <c r="T67" s="25"/>
      <c r="X67" s="18" t="s">
        <v>66</v>
      </c>
      <c r="Y67" s="18" t="s">
        <v>67</v>
      </c>
      <c r="Z67" s="19">
        <v>20</v>
      </c>
    </row>
    <row r="68" spans="1:26" x14ac:dyDescent="0.25">
      <c r="A68" s="5" t="s">
        <v>153</v>
      </c>
      <c r="B68" t="s">
        <v>154</v>
      </c>
      <c r="C68">
        <v>8</v>
      </c>
      <c r="J68" s="22">
        <f t="shared" si="1"/>
        <v>0</v>
      </c>
      <c r="S68" s="25"/>
      <c r="T68" s="25"/>
      <c r="X68" s="18" t="s">
        <v>42</v>
      </c>
      <c r="Y68" s="18" t="s">
        <v>43</v>
      </c>
      <c r="Z68" s="19">
        <v>1</v>
      </c>
    </row>
    <row r="69" spans="1:26" x14ac:dyDescent="0.25">
      <c r="A69" s="5" t="s">
        <v>155</v>
      </c>
      <c r="B69" t="s">
        <v>156</v>
      </c>
      <c r="C69">
        <v>8</v>
      </c>
      <c r="D69" t="s">
        <v>522</v>
      </c>
      <c r="E69" s="1">
        <v>46182</v>
      </c>
      <c r="F69" s="3">
        <v>0.5</v>
      </c>
      <c r="J69" s="22">
        <f t="shared" si="1"/>
        <v>0</v>
      </c>
      <c r="S69" s="25"/>
      <c r="T69" s="25"/>
      <c r="X69" s="18" t="s">
        <v>103</v>
      </c>
      <c r="Y69" s="18" t="s">
        <v>104</v>
      </c>
      <c r="Z69" s="19">
        <v>4</v>
      </c>
    </row>
    <row r="70" spans="1:26" x14ac:dyDescent="0.25">
      <c r="A70" s="5" t="s">
        <v>158</v>
      </c>
      <c r="B70" t="s">
        <v>159</v>
      </c>
      <c r="C70">
        <v>8</v>
      </c>
      <c r="D70" t="s">
        <v>522</v>
      </c>
      <c r="E70" s="1">
        <v>46192</v>
      </c>
      <c r="F70" s="3">
        <v>0.5</v>
      </c>
      <c r="J70" s="22">
        <f t="shared" si="1"/>
        <v>0</v>
      </c>
      <c r="S70" s="25"/>
      <c r="T70" s="25"/>
      <c r="X70" s="18" t="s">
        <v>100</v>
      </c>
      <c r="Y70" s="18" t="s">
        <v>101</v>
      </c>
      <c r="Z70" s="19">
        <v>2</v>
      </c>
    </row>
    <row r="71" spans="1:26" x14ac:dyDescent="0.25">
      <c r="A71" s="5" t="s">
        <v>160</v>
      </c>
      <c r="B71" t="s">
        <v>161</v>
      </c>
      <c r="C71">
        <v>8</v>
      </c>
      <c r="D71" t="s">
        <v>157</v>
      </c>
      <c r="E71" s="1">
        <v>46190</v>
      </c>
      <c r="F71" s="2">
        <v>0.5</v>
      </c>
      <c r="J71" s="22">
        <f t="shared" si="1"/>
        <v>0</v>
      </c>
      <c r="S71" s="25"/>
      <c r="T71" s="25"/>
    </row>
    <row r="72" spans="1:26" x14ac:dyDescent="0.25">
      <c r="A72" s="5" t="s">
        <v>162</v>
      </c>
      <c r="B72" t="s">
        <v>163</v>
      </c>
      <c r="C72">
        <v>8</v>
      </c>
      <c r="J72" s="22">
        <f t="shared" si="1"/>
        <v>0</v>
      </c>
      <c r="S72" s="25"/>
      <c r="T72" s="25"/>
    </row>
    <row r="73" spans="1:26" x14ac:dyDescent="0.25">
      <c r="A73" s="5" t="s">
        <v>164</v>
      </c>
      <c r="B73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  <c r="S73" s="25"/>
      <c r="T73" s="25"/>
    </row>
    <row r="74" spans="1:26" x14ac:dyDescent="0.25">
      <c r="A74" s="5" t="s">
        <v>166</v>
      </c>
      <c r="B74" t="s">
        <v>167</v>
      </c>
      <c r="C74">
        <v>8</v>
      </c>
      <c r="D74" t="s">
        <v>242</v>
      </c>
      <c r="E74" s="1">
        <v>46182</v>
      </c>
      <c r="F74" s="3">
        <v>0.5</v>
      </c>
      <c r="J74" s="22">
        <f t="shared" si="1"/>
        <v>0</v>
      </c>
      <c r="S74" s="25"/>
      <c r="T74" s="25"/>
    </row>
    <row r="75" spans="1:26" x14ac:dyDescent="0.25">
      <c r="A75" s="5" t="s">
        <v>169</v>
      </c>
      <c r="B75" t="s">
        <v>228</v>
      </c>
      <c r="C75">
        <v>8</v>
      </c>
      <c r="D75" t="s">
        <v>242</v>
      </c>
      <c r="E75" s="1">
        <v>46199</v>
      </c>
      <c r="F75" s="3">
        <v>0.5</v>
      </c>
      <c r="J75" s="22">
        <f t="shared" si="1"/>
        <v>0</v>
      </c>
      <c r="S75" s="25"/>
      <c r="T75" s="25"/>
    </row>
    <row r="76" spans="1:26" x14ac:dyDescent="0.25">
      <c r="A76" s="5" t="s">
        <v>170</v>
      </c>
      <c r="B76" t="s">
        <v>229</v>
      </c>
      <c r="C76">
        <v>8</v>
      </c>
      <c r="J76" s="22">
        <f t="shared" si="1"/>
        <v>0</v>
      </c>
      <c r="S76" s="25"/>
      <c r="T76" s="25"/>
    </row>
    <row r="77" spans="1:26" x14ac:dyDescent="0.25">
      <c r="A77" s="5" t="s">
        <v>171</v>
      </c>
      <c r="B77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1"/>
        <v>0</v>
      </c>
      <c r="S77" s="25"/>
      <c r="T77" s="25"/>
    </row>
    <row r="78" spans="1:26" x14ac:dyDescent="0.25">
      <c r="A78" s="5" t="s">
        <v>173</v>
      </c>
      <c r="B7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1"/>
        <v>0</v>
      </c>
      <c r="S78" s="25"/>
      <c r="T78" s="25"/>
    </row>
    <row r="79" spans="1:26" x14ac:dyDescent="0.25">
      <c r="A79" s="5" t="s">
        <v>176</v>
      </c>
      <c r="B79" t="s">
        <v>177</v>
      </c>
      <c r="C79">
        <v>8</v>
      </c>
      <c r="D79" t="s">
        <v>79</v>
      </c>
      <c r="E79" s="1">
        <v>46190</v>
      </c>
      <c r="F79" s="2">
        <v>0.5</v>
      </c>
      <c r="J79" s="22">
        <f t="shared" si="1"/>
        <v>0</v>
      </c>
      <c r="S79" s="25"/>
      <c r="T79" s="25"/>
    </row>
    <row r="80" spans="1:26" x14ac:dyDescent="0.25">
      <c r="A80" s="5" t="s">
        <v>178</v>
      </c>
      <c r="B80" t="s">
        <v>230</v>
      </c>
      <c r="C80">
        <v>8</v>
      </c>
      <c r="J80" s="22">
        <f t="shared" si="1"/>
        <v>0</v>
      </c>
      <c r="S80" s="25"/>
      <c r="T80" s="25"/>
    </row>
    <row r="81" spans="1:20" x14ac:dyDescent="0.25">
      <c r="A81" s="4" t="s">
        <v>179</v>
      </c>
      <c r="B81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518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  <c r="S81" s="25"/>
      <c r="T81" s="25"/>
    </row>
    <row r="82" spans="1:20" x14ac:dyDescent="0.25">
      <c r="A82" s="5" t="s">
        <v>181</v>
      </c>
      <c r="B82" t="s">
        <v>182</v>
      </c>
      <c r="C82">
        <v>9</v>
      </c>
      <c r="D82" t="s">
        <v>99</v>
      </c>
      <c r="E82" s="1">
        <v>46195</v>
      </c>
      <c r="F82" s="3">
        <v>0.625</v>
      </c>
      <c r="H82" t="s">
        <v>507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  <c r="S82" s="25"/>
      <c r="T82" s="25"/>
    </row>
    <row r="83" spans="1:20" x14ac:dyDescent="0.25">
      <c r="A83" s="5" t="s">
        <v>183</v>
      </c>
      <c r="B83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  <c r="S83" s="25"/>
      <c r="T83" s="25"/>
    </row>
    <row r="84" spans="1:20" x14ac:dyDescent="0.25">
      <c r="A84" s="5" t="s">
        <v>185</v>
      </c>
      <c r="B84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  <c r="S84" s="25"/>
      <c r="T84" s="25"/>
    </row>
    <row r="85" spans="1:20" x14ac:dyDescent="0.25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  <c r="S85" s="25"/>
      <c r="T85" s="25"/>
    </row>
    <row r="86" spans="1:20" x14ac:dyDescent="0.25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  <c r="S86" s="25"/>
      <c r="T86" s="25"/>
    </row>
    <row r="87" spans="1:20" x14ac:dyDescent="0.25">
      <c r="A87" s="5" t="s">
        <v>190</v>
      </c>
      <c r="B87" t="s">
        <v>191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  <c r="S87" s="25"/>
      <c r="T87" s="25"/>
    </row>
    <row r="88" spans="1:20" x14ac:dyDescent="0.25">
      <c r="A88" s="5" t="s">
        <v>192</v>
      </c>
      <c r="B88" t="s">
        <v>232</v>
      </c>
      <c r="C88">
        <v>9</v>
      </c>
      <c r="J88" s="22">
        <f t="shared" si="1"/>
        <v>0</v>
      </c>
      <c r="S88" s="25"/>
      <c r="T88" s="25"/>
    </row>
    <row r="89" spans="1:20" x14ac:dyDescent="0.25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H89" t="s">
        <v>507</v>
      </c>
      <c r="J89" s="22">
        <f t="shared" si="1"/>
        <v>5</v>
      </c>
      <c r="K89" s="22">
        <v>1</v>
      </c>
      <c r="M89" s="22">
        <f>VLOOKUP(Table1[[#This Row],[course_id]],X:Z,3,FALSE)</f>
        <v>5</v>
      </c>
      <c r="S89" s="25"/>
      <c r="T89" s="25"/>
    </row>
    <row r="90" spans="1:20" x14ac:dyDescent="0.25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  <c r="S90" s="25"/>
      <c r="T90" s="25"/>
    </row>
    <row r="91" spans="1:20" x14ac:dyDescent="0.25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H91" t="s">
        <v>76</v>
      </c>
      <c r="J91" s="22">
        <f t="shared" si="1"/>
        <v>5</v>
      </c>
      <c r="K91" s="22">
        <v>1</v>
      </c>
      <c r="M91" s="22">
        <f>VLOOKUP(Table1[[#This Row],[course_id]],X:Z,3,FALSE)</f>
        <v>5</v>
      </c>
      <c r="S91" s="25"/>
      <c r="T91" s="25"/>
    </row>
    <row r="92" spans="1:20" x14ac:dyDescent="0.25">
      <c r="A92" s="5" t="s">
        <v>197</v>
      </c>
      <c r="B92" t="s">
        <v>235</v>
      </c>
      <c r="C92">
        <v>9</v>
      </c>
      <c r="J92" s="22">
        <f t="shared" si="1"/>
        <v>0</v>
      </c>
      <c r="S92" s="25"/>
      <c r="T92" s="25"/>
    </row>
    <row r="93" spans="1:20" x14ac:dyDescent="0.25">
      <c r="A93" s="5" t="s">
        <v>198</v>
      </c>
      <c r="B93" t="s">
        <v>199</v>
      </c>
      <c r="C93">
        <v>9</v>
      </c>
      <c r="J93" s="22">
        <f t="shared" si="1"/>
        <v>0</v>
      </c>
      <c r="S93" s="25"/>
      <c r="T93" s="25"/>
    </row>
    <row r="94" spans="1:20" x14ac:dyDescent="0.25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  <c r="S94" s="25"/>
      <c r="T94" s="25"/>
    </row>
    <row r="95" spans="1:20" x14ac:dyDescent="0.25">
      <c r="A95" s="5" t="s">
        <v>202</v>
      </c>
      <c r="B95" t="s">
        <v>236</v>
      </c>
      <c r="C95">
        <v>9</v>
      </c>
      <c r="D95" t="s">
        <v>60</v>
      </c>
      <c r="E95" s="1">
        <v>46188</v>
      </c>
      <c r="F95" s="3">
        <v>0.5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  <c r="S95" s="25"/>
      <c r="T95" s="25"/>
    </row>
    <row r="96" spans="1:20" x14ac:dyDescent="0.25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  <c r="S96" s="25"/>
      <c r="T96" s="25"/>
    </row>
    <row r="97" spans="1:20" x14ac:dyDescent="0.25">
      <c r="A97" s="5" t="s">
        <v>204</v>
      </c>
      <c r="B97" t="s">
        <v>205</v>
      </c>
      <c r="C97">
        <v>9</v>
      </c>
      <c r="J97" s="22">
        <f t="shared" si="1"/>
        <v>0</v>
      </c>
      <c r="S97" s="25"/>
      <c r="T97" s="25"/>
    </row>
    <row r="98" spans="1:20" x14ac:dyDescent="0.25">
      <c r="A98" s="5" t="s">
        <v>206</v>
      </c>
      <c r="B98" t="s">
        <v>207</v>
      </c>
      <c r="C98">
        <v>9</v>
      </c>
      <c r="J98" s="22">
        <f t="shared" si="1"/>
        <v>0</v>
      </c>
      <c r="S98" s="25"/>
      <c r="T98" s="25"/>
    </row>
    <row r="99" spans="1:20" x14ac:dyDescent="0.25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  <c r="S99" s="25"/>
      <c r="T99" s="25"/>
    </row>
    <row r="100" spans="1:20" x14ac:dyDescent="0.25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1"/>
        <v>0</v>
      </c>
      <c r="S100" s="25"/>
      <c r="T100" s="25"/>
    </row>
    <row r="101" spans="1:2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46189</v>
      </c>
      <c r="F101" s="3">
        <v>0.375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  <c r="S101" s="25"/>
      <c r="T101" s="25"/>
    </row>
    <row r="102" spans="1:20" x14ac:dyDescent="0.25">
      <c r="A102" s="5" t="s">
        <v>213</v>
      </c>
      <c r="B102" t="s">
        <v>239</v>
      </c>
      <c r="C102">
        <v>9</v>
      </c>
      <c r="S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25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347</v>
      </c>
      <c r="O2" s="18" t="s">
        <v>348</v>
      </c>
      <c r="P2" s="19">
        <v>39</v>
      </c>
    </row>
    <row r="3" spans="1:16" x14ac:dyDescent="0.25">
      <c r="A3">
        <f>A2+1</f>
        <v>102</v>
      </c>
      <c r="B3" t="s">
        <v>287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349</v>
      </c>
      <c r="O3" s="18" t="s">
        <v>350</v>
      </c>
      <c r="P3" s="19">
        <v>4</v>
      </c>
    </row>
    <row r="4" spans="1:16" x14ac:dyDescent="0.25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351</v>
      </c>
      <c r="O4" s="18" t="s">
        <v>352</v>
      </c>
      <c r="P4" s="19">
        <v>4</v>
      </c>
    </row>
    <row r="5" spans="1:16" x14ac:dyDescent="0.25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353</v>
      </c>
      <c r="O5" s="18" t="s">
        <v>354</v>
      </c>
      <c r="P5" s="19">
        <v>2</v>
      </c>
    </row>
    <row r="6" spans="1:16" x14ac:dyDescent="0.25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355</v>
      </c>
      <c r="O6" s="18" t="s">
        <v>356</v>
      </c>
      <c r="P6" s="19">
        <v>8</v>
      </c>
    </row>
    <row r="7" spans="1:16" x14ac:dyDescent="0.25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46190</v>
      </c>
      <c r="F7" s="15">
        <f>VLOOKUP($I7,Table1[[#All],[course_name]:[epitirites]],5,FALSE)</f>
        <v>0.625</v>
      </c>
      <c r="I7" t="s">
        <v>18</v>
      </c>
      <c r="J7">
        <v>11</v>
      </c>
      <c r="N7" s="18" t="s">
        <v>357</v>
      </c>
      <c r="O7" s="18" t="s">
        <v>358</v>
      </c>
      <c r="P7" s="19">
        <v>11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359</v>
      </c>
      <c r="O8" s="18" t="s">
        <v>360</v>
      </c>
      <c r="P8" s="19">
        <v>9</v>
      </c>
    </row>
    <row r="9" spans="1:16" x14ac:dyDescent="0.25">
      <c r="A9" t="s">
        <v>330</v>
      </c>
      <c r="B9" t="s">
        <v>293</v>
      </c>
      <c r="C9" s="22">
        <v>2</v>
      </c>
      <c r="D9" s="13" t="s">
        <v>19</v>
      </c>
      <c r="E9" s="14">
        <f>VLOOKUP($I9,Table1[[#All],[course_name]:[epitirites]],4,FALSE)</f>
        <v>46190</v>
      </c>
      <c r="F9" s="15">
        <f>VLOOKUP($I9,Table1[[#All],[course_name]:[epitirites]],5,FALSE)</f>
        <v>0.75</v>
      </c>
      <c r="I9" t="s">
        <v>216</v>
      </c>
      <c r="J9">
        <v>12</v>
      </c>
      <c r="N9" s="18" t="s">
        <v>361</v>
      </c>
      <c r="O9" s="18" t="s">
        <v>362</v>
      </c>
      <c r="P9" s="19">
        <v>15</v>
      </c>
    </row>
    <row r="10" spans="1:16" x14ac:dyDescent="0.25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46196</v>
      </c>
      <c r="F10" s="15">
        <f>VLOOKUP($I10,Table1[[#All],[course_name]:[epitirites]],5,FALSE)</f>
        <v>0.625</v>
      </c>
      <c r="I10" t="s">
        <v>73</v>
      </c>
      <c r="J10">
        <v>15</v>
      </c>
      <c r="N10" s="18" t="s">
        <v>363</v>
      </c>
      <c r="O10" s="18" t="s">
        <v>364</v>
      </c>
      <c r="P10" s="19">
        <v>1</v>
      </c>
    </row>
    <row r="11" spans="1:16" x14ac:dyDescent="0.25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365</v>
      </c>
      <c r="O11" s="18" t="s">
        <v>366</v>
      </c>
      <c r="P11" s="19">
        <v>11</v>
      </c>
    </row>
    <row r="12" spans="1:16" x14ac:dyDescent="0.25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46183</v>
      </c>
      <c r="F12" s="15">
        <f>VLOOKUP($I12,Table1[[#All],[course_name]:[epitirites]],5,FALSE)</f>
        <v>0.5</v>
      </c>
      <c r="I12" t="s">
        <v>62</v>
      </c>
      <c r="J12">
        <v>11</v>
      </c>
      <c r="N12" s="18" t="s">
        <v>367</v>
      </c>
      <c r="O12" s="18" t="s">
        <v>368</v>
      </c>
      <c r="P12" s="19">
        <v>38</v>
      </c>
    </row>
    <row r="13" spans="1:16" x14ac:dyDescent="0.25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330</v>
      </c>
      <c r="O13" s="18" t="s">
        <v>369</v>
      </c>
      <c r="P13" s="19">
        <v>12</v>
      </c>
    </row>
    <row r="14" spans="1:16" x14ac:dyDescent="0.25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46204</v>
      </c>
      <c r="F14" s="15">
        <f>VLOOKUP($I14,Table1[[#All],[course_name]:[epitirites]],5,FALSE)</f>
        <v>0.375</v>
      </c>
      <c r="I14" t="s">
        <v>24</v>
      </c>
      <c r="J14">
        <v>8</v>
      </c>
      <c r="N14" s="18" t="s">
        <v>331</v>
      </c>
      <c r="O14" s="18" t="s">
        <v>370</v>
      </c>
      <c r="P14" s="19">
        <v>15</v>
      </c>
    </row>
    <row r="15" spans="1:16" x14ac:dyDescent="0.25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14</v>
      </c>
      <c r="N15" s="18" t="s">
        <v>371</v>
      </c>
      <c r="O15" s="18" t="s">
        <v>372</v>
      </c>
      <c r="P15" s="19">
        <v>8</v>
      </c>
    </row>
    <row r="16" spans="1:16" x14ac:dyDescent="0.25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13</v>
      </c>
      <c r="N16" s="18" t="s">
        <v>373</v>
      </c>
      <c r="O16" s="18" t="s">
        <v>374</v>
      </c>
      <c r="P16" s="19">
        <v>10</v>
      </c>
    </row>
    <row r="17" spans="1:16" x14ac:dyDescent="0.25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46190</v>
      </c>
      <c r="F17" s="15">
        <f>VLOOKUP($I17,Table1[[#All],[course_name]:[epitirites]],5,FALSE)</f>
        <v>0.375</v>
      </c>
      <c r="I17" t="s">
        <v>78</v>
      </c>
      <c r="J17">
        <v>7</v>
      </c>
      <c r="N17" s="18" t="s">
        <v>375</v>
      </c>
      <c r="O17" s="18" t="s">
        <v>376</v>
      </c>
      <c r="P17" s="19">
        <v>9</v>
      </c>
    </row>
    <row r="18" spans="1:16" x14ac:dyDescent="0.25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5</v>
      </c>
      <c r="N18" s="18" t="s">
        <v>377</v>
      </c>
      <c r="O18" s="18" t="s">
        <v>378</v>
      </c>
      <c r="P18" s="19">
        <v>11</v>
      </c>
    </row>
    <row r="19" spans="1:16" x14ac:dyDescent="0.25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46045</v>
      </c>
      <c r="F19" s="17">
        <v>0.625</v>
      </c>
      <c r="J19">
        <v>12</v>
      </c>
      <c r="N19" s="18" t="s">
        <v>379</v>
      </c>
      <c r="O19" s="18" t="s">
        <v>380</v>
      </c>
      <c r="P19" s="19">
        <v>5</v>
      </c>
    </row>
    <row r="20" spans="1:16" x14ac:dyDescent="0.25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24</v>
      </c>
      <c r="N20" s="18" t="s">
        <v>381</v>
      </c>
      <c r="O20" s="18" t="s">
        <v>382</v>
      </c>
      <c r="P20" s="19">
        <v>3</v>
      </c>
    </row>
    <row r="21" spans="1:16" x14ac:dyDescent="0.25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46191</v>
      </c>
      <c r="F21" s="15">
        <f>VLOOKUP($I21,Table1[[#All],[course_name]:[epitirites]],5,FALSE)</f>
        <v>0.375</v>
      </c>
      <c r="I21" t="s">
        <v>75</v>
      </c>
      <c r="J21">
        <v>10</v>
      </c>
      <c r="N21" s="18" t="s">
        <v>383</v>
      </c>
      <c r="O21" s="18" t="s">
        <v>384</v>
      </c>
      <c r="P21" s="19">
        <v>8</v>
      </c>
    </row>
    <row r="22" spans="1:16" x14ac:dyDescent="0.25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8</v>
      </c>
      <c r="N22" s="18" t="s">
        <v>385</v>
      </c>
      <c r="O22" s="18" t="s">
        <v>386</v>
      </c>
      <c r="P22" s="19">
        <v>13</v>
      </c>
    </row>
    <row r="23" spans="1:16" x14ac:dyDescent="0.25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46189</v>
      </c>
      <c r="F23" s="15">
        <f>VLOOKUP($I23,Table1[[#All],[course_name]:[epitirites]],5,FALSE)</f>
        <v>0.75</v>
      </c>
      <c r="I23" t="s">
        <v>104</v>
      </c>
      <c r="J23">
        <v>7</v>
      </c>
      <c r="N23" s="18" t="s">
        <v>387</v>
      </c>
      <c r="O23" s="18" t="s">
        <v>388</v>
      </c>
      <c r="P23" s="19">
        <v>14</v>
      </c>
    </row>
    <row r="24" spans="1:16" x14ac:dyDescent="0.25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389</v>
      </c>
      <c r="O24" s="18" t="s">
        <v>390</v>
      </c>
      <c r="P24" s="19">
        <v>9</v>
      </c>
    </row>
    <row r="25" spans="1:16" x14ac:dyDescent="0.25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6</v>
      </c>
      <c r="N25" s="18" t="s">
        <v>391</v>
      </c>
      <c r="O25" s="18" t="s">
        <v>392</v>
      </c>
      <c r="P25" s="19">
        <v>13</v>
      </c>
    </row>
    <row r="26" spans="1:16" x14ac:dyDescent="0.25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35</v>
      </c>
      <c r="N26" s="18" t="s">
        <v>393</v>
      </c>
      <c r="O26" s="18" t="s">
        <v>394</v>
      </c>
      <c r="P26" s="19">
        <v>7</v>
      </c>
    </row>
    <row r="27" spans="1:16" x14ac:dyDescent="0.25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5</v>
      </c>
      <c r="N27" s="18" t="s">
        <v>395</v>
      </c>
      <c r="O27" s="18" t="s">
        <v>396</v>
      </c>
      <c r="P27" s="19">
        <v>7</v>
      </c>
    </row>
    <row r="28" spans="1:16" x14ac:dyDescent="0.25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8</v>
      </c>
      <c r="N28" s="18" t="s">
        <v>397</v>
      </c>
      <c r="O28" s="18" t="s">
        <v>398</v>
      </c>
      <c r="P28" s="19">
        <v>2</v>
      </c>
    </row>
    <row r="29" spans="1:16" x14ac:dyDescent="0.25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6</v>
      </c>
      <c r="N29" s="18" t="s">
        <v>399</v>
      </c>
      <c r="O29" s="18" t="s">
        <v>400</v>
      </c>
      <c r="P29" s="19">
        <v>5</v>
      </c>
    </row>
    <row r="30" spans="1:16" x14ac:dyDescent="0.25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7</v>
      </c>
      <c r="N30" s="18" t="s">
        <v>401</v>
      </c>
      <c r="O30" s="18" t="s">
        <v>402</v>
      </c>
      <c r="P30" s="19">
        <v>12</v>
      </c>
    </row>
    <row r="31" spans="1:16" x14ac:dyDescent="0.25">
      <c r="A31">
        <v>601</v>
      </c>
      <c r="B31" t="s">
        <v>310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46197</v>
      </c>
      <c r="F31" s="15">
        <f>VLOOKUP($I31,Table1[[#All],[course_name]:[epitirites]],5,FALSE)</f>
        <v>0.375</v>
      </c>
      <c r="I31" t="s">
        <v>219</v>
      </c>
      <c r="J31">
        <v>3</v>
      </c>
      <c r="N31" s="18" t="s">
        <v>403</v>
      </c>
      <c r="O31" s="18" t="s">
        <v>404</v>
      </c>
      <c r="P31" s="19">
        <v>21</v>
      </c>
    </row>
    <row r="32" spans="1:16" x14ac:dyDescent="0.25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46197</v>
      </c>
      <c r="F32" s="15">
        <f>VLOOKUP($I32,Table1[[#All],[course_name]:[epitirites]],5,FALSE)</f>
        <v>0.75</v>
      </c>
      <c r="I32" t="s">
        <v>142</v>
      </c>
      <c r="J32">
        <v>5</v>
      </c>
      <c r="N32" s="18" t="s">
        <v>405</v>
      </c>
      <c r="O32" s="18" t="s">
        <v>406</v>
      </c>
      <c r="P32" s="19">
        <v>24</v>
      </c>
    </row>
    <row r="33" spans="1:16" x14ac:dyDescent="0.25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4</v>
      </c>
      <c r="N33" s="18" t="s">
        <v>407</v>
      </c>
      <c r="O33" s="18" t="s">
        <v>408</v>
      </c>
      <c r="P33" s="19">
        <v>8</v>
      </c>
    </row>
    <row r="34" spans="1:16" x14ac:dyDescent="0.25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6</v>
      </c>
      <c r="N34" s="18" t="s">
        <v>409</v>
      </c>
      <c r="O34" s="18" t="s">
        <v>410</v>
      </c>
      <c r="P34" s="19">
        <v>10</v>
      </c>
    </row>
    <row r="35" spans="1:16" x14ac:dyDescent="0.25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25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8</v>
      </c>
    </row>
    <row r="37" spans="1:16" x14ac:dyDescent="0.25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N37" s="18" t="s">
        <v>415</v>
      </c>
      <c r="O37" s="18" t="s">
        <v>416</v>
      </c>
      <c r="P37" s="19">
        <v>7</v>
      </c>
    </row>
    <row r="38" spans="1:16" x14ac:dyDescent="0.25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46195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7</v>
      </c>
    </row>
    <row r="39" spans="1:16" x14ac:dyDescent="0.25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3</v>
      </c>
    </row>
    <row r="40" spans="1:16" x14ac:dyDescent="0.25">
      <c r="A40" t="s">
        <v>324</v>
      </c>
      <c r="B40" t="s">
        <v>191</v>
      </c>
      <c r="C40" s="22">
        <v>7</v>
      </c>
      <c r="D40" s="13" t="s">
        <v>81</v>
      </c>
      <c r="E40" s="16">
        <v>46063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10</v>
      </c>
    </row>
    <row r="41" spans="1:16" x14ac:dyDescent="0.25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3</v>
      </c>
      <c r="N41" s="18" t="s">
        <v>423</v>
      </c>
      <c r="O41" s="18" t="s">
        <v>424</v>
      </c>
      <c r="P41" s="19">
        <v>2</v>
      </c>
    </row>
    <row r="42" spans="1:16" x14ac:dyDescent="0.25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5</v>
      </c>
      <c r="N42" s="18" t="s">
        <v>425</v>
      </c>
      <c r="O42" s="18" t="s">
        <v>426</v>
      </c>
      <c r="P42" s="19">
        <v>6</v>
      </c>
    </row>
    <row r="43" spans="1:16" x14ac:dyDescent="0.25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1</v>
      </c>
      <c r="N43" s="18" t="s">
        <v>427</v>
      </c>
      <c r="O43" s="18" t="s">
        <v>428</v>
      </c>
      <c r="P43" s="19">
        <v>32</v>
      </c>
    </row>
    <row r="44" spans="1:16" x14ac:dyDescent="0.25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N44" s="18" t="s">
        <v>429</v>
      </c>
      <c r="O44" s="18" t="s">
        <v>430</v>
      </c>
      <c r="P44" s="19">
        <v>35</v>
      </c>
    </row>
    <row r="45" spans="1:16" x14ac:dyDescent="0.25">
      <c r="A45" t="s">
        <v>329</v>
      </c>
      <c r="B45" t="s">
        <v>321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431</v>
      </c>
      <c r="O45" s="18" t="s">
        <v>432</v>
      </c>
      <c r="P45" s="19">
        <v>5</v>
      </c>
    </row>
    <row r="46" spans="1:16" x14ac:dyDescent="0.25">
      <c r="N46" s="18" t="s">
        <v>433</v>
      </c>
      <c r="O46" s="18" t="s">
        <v>434</v>
      </c>
      <c r="P46" s="19">
        <v>4</v>
      </c>
    </row>
    <row r="47" spans="1:16" x14ac:dyDescent="0.25">
      <c r="N47" s="18" t="s">
        <v>435</v>
      </c>
      <c r="O47" s="18" t="s">
        <v>436</v>
      </c>
      <c r="P47" s="19">
        <v>7</v>
      </c>
    </row>
    <row r="48" spans="1:16" x14ac:dyDescent="0.25">
      <c r="N48" s="18" t="s">
        <v>437</v>
      </c>
      <c r="O48" s="18" t="s">
        <v>438</v>
      </c>
      <c r="P48" s="19">
        <v>8</v>
      </c>
    </row>
    <row r="49" spans="14:16" x14ac:dyDescent="0.25">
      <c r="N49" s="18" t="s">
        <v>439</v>
      </c>
      <c r="O49" s="18" t="s">
        <v>440</v>
      </c>
      <c r="P49" s="19">
        <v>5</v>
      </c>
    </row>
    <row r="50" spans="14:16" x14ac:dyDescent="0.25">
      <c r="N50" s="18" t="s">
        <v>441</v>
      </c>
      <c r="O50" s="18" t="s">
        <v>442</v>
      </c>
      <c r="P50" s="19">
        <v>6</v>
      </c>
    </row>
    <row r="51" spans="14:16" x14ac:dyDescent="0.25">
      <c r="N51" s="18" t="s">
        <v>443</v>
      </c>
      <c r="O51" s="18" t="s">
        <v>444</v>
      </c>
      <c r="P51" s="19">
        <v>7</v>
      </c>
    </row>
    <row r="52" spans="14:16" x14ac:dyDescent="0.25">
      <c r="N52" s="18" t="s">
        <v>445</v>
      </c>
      <c r="O52" s="18" t="s">
        <v>446</v>
      </c>
      <c r="P52" s="19">
        <v>3</v>
      </c>
    </row>
    <row r="53" spans="14:16" x14ac:dyDescent="0.25">
      <c r="N53" s="18" t="s">
        <v>447</v>
      </c>
      <c r="O53" s="18" t="s">
        <v>448</v>
      </c>
      <c r="P53" s="19">
        <v>3</v>
      </c>
    </row>
    <row r="54" spans="14:16" x14ac:dyDescent="0.25">
      <c r="N54" s="18" t="s">
        <v>449</v>
      </c>
      <c r="O54" s="18" t="s">
        <v>450</v>
      </c>
      <c r="P54" s="19">
        <v>2</v>
      </c>
    </row>
    <row r="55" spans="14:16" x14ac:dyDescent="0.25">
      <c r="N55" s="18" t="s">
        <v>451</v>
      </c>
      <c r="O55" s="18" t="s">
        <v>452</v>
      </c>
      <c r="P55" s="19">
        <v>5</v>
      </c>
    </row>
    <row r="56" spans="14:16" x14ac:dyDescent="0.25">
      <c r="N56" s="18" t="s">
        <v>453</v>
      </c>
      <c r="O56" s="18" t="s">
        <v>454</v>
      </c>
      <c r="P56" s="19">
        <v>3</v>
      </c>
    </row>
    <row r="57" spans="14:16" x14ac:dyDescent="0.25">
      <c r="N57" s="18" t="s">
        <v>455</v>
      </c>
      <c r="O57" s="18" t="s">
        <v>456</v>
      </c>
      <c r="P57" s="19">
        <v>4</v>
      </c>
    </row>
    <row r="58" spans="14:16" x14ac:dyDescent="0.25">
      <c r="N58" s="18" t="s">
        <v>457</v>
      </c>
      <c r="O58" s="18" t="s">
        <v>458</v>
      </c>
      <c r="P58" s="19">
        <v>5</v>
      </c>
    </row>
    <row r="59" spans="14:16" x14ac:dyDescent="0.25">
      <c r="N59" s="18" t="s">
        <v>459</v>
      </c>
      <c r="O59" s="18" t="s">
        <v>460</v>
      </c>
      <c r="P59" s="19">
        <v>6</v>
      </c>
    </row>
    <row r="60" spans="14:16" x14ac:dyDescent="0.25">
      <c r="N60" s="18" t="s">
        <v>461</v>
      </c>
      <c r="O60" s="18" t="s">
        <v>462</v>
      </c>
      <c r="P60" s="19">
        <v>2</v>
      </c>
    </row>
    <row r="61" spans="14:16" x14ac:dyDescent="0.25">
      <c r="N61" s="18" t="s">
        <v>463</v>
      </c>
      <c r="O61" s="18" t="s">
        <v>464</v>
      </c>
      <c r="P61" s="19">
        <v>2</v>
      </c>
    </row>
    <row r="62" spans="14:16" x14ac:dyDescent="0.25">
      <c r="N62" s="18" t="s">
        <v>465</v>
      </c>
      <c r="O62" s="18" t="s">
        <v>466</v>
      </c>
      <c r="P62" s="19">
        <v>4</v>
      </c>
    </row>
    <row r="63" spans="14:16" x14ac:dyDescent="0.25">
      <c r="N63" s="18" t="s">
        <v>467</v>
      </c>
      <c r="O63" s="18" t="s">
        <v>468</v>
      </c>
      <c r="P63" s="19">
        <v>5</v>
      </c>
    </row>
    <row r="64" spans="14:16" x14ac:dyDescent="0.25">
      <c r="N64" s="18" t="s">
        <v>469</v>
      </c>
      <c r="O64" s="18" t="s">
        <v>470</v>
      </c>
      <c r="P64" s="19">
        <v>1</v>
      </c>
    </row>
    <row r="65" spans="14:16" x14ac:dyDescent="0.25">
      <c r="N65" s="18" t="s">
        <v>471</v>
      </c>
      <c r="O65" s="18" t="s">
        <v>472</v>
      </c>
      <c r="P65" s="19">
        <v>1</v>
      </c>
    </row>
    <row r="66" spans="14:16" x14ac:dyDescent="0.25">
      <c r="N66" s="18" t="s">
        <v>473</v>
      </c>
      <c r="O66" s="18" t="s">
        <v>474</v>
      </c>
      <c r="P66" s="19">
        <v>3</v>
      </c>
    </row>
    <row r="67" spans="14:16" x14ac:dyDescent="0.25">
      <c r="N67" s="18" t="s">
        <v>475</v>
      </c>
      <c r="O67" s="18" t="s">
        <v>476</v>
      </c>
      <c r="P67" s="19">
        <v>2</v>
      </c>
    </row>
    <row r="68" spans="14:16" x14ac:dyDescent="0.25">
      <c r="N68" s="18" t="s">
        <v>477</v>
      </c>
      <c r="O68" s="18" t="s">
        <v>478</v>
      </c>
      <c r="P68" s="19">
        <v>2</v>
      </c>
    </row>
    <row r="69" spans="14:16" x14ac:dyDescent="0.25">
      <c r="N69" s="18" t="s">
        <v>479</v>
      </c>
      <c r="O69" s="18" t="s">
        <v>480</v>
      </c>
      <c r="P69" s="19">
        <v>3</v>
      </c>
    </row>
    <row r="70" spans="14:16" x14ac:dyDescent="0.25">
      <c r="N70" s="18" t="s">
        <v>481</v>
      </c>
      <c r="O70" s="18" t="s">
        <v>482</v>
      </c>
      <c r="P70" s="19">
        <v>3</v>
      </c>
    </row>
    <row r="71" spans="14:16" x14ac:dyDescent="0.25">
      <c r="N71" s="18" t="s">
        <v>483</v>
      </c>
      <c r="O71" s="18" t="s">
        <v>484</v>
      </c>
      <c r="P71" s="19">
        <v>5</v>
      </c>
    </row>
    <row r="72" spans="14:16" x14ac:dyDescent="0.25">
      <c r="N72" s="18" t="s">
        <v>485</v>
      </c>
      <c r="O72" s="18" t="s">
        <v>486</v>
      </c>
      <c r="P72" s="19">
        <v>8</v>
      </c>
    </row>
    <row r="73" spans="14:16" x14ac:dyDescent="0.25">
      <c r="N73" s="18" t="s">
        <v>487</v>
      </c>
      <c r="O73" s="18" t="s">
        <v>488</v>
      </c>
      <c r="P73" s="19">
        <v>1</v>
      </c>
    </row>
    <row r="74" spans="14:16" x14ac:dyDescent="0.25">
      <c r="N74" s="18" t="s">
        <v>489</v>
      </c>
      <c r="O74" s="18" t="s">
        <v>490</v>
      </c>
      <c r="P74" s="19">
        <v>1</v>
      </c>
    </row>
    <row r="75" spans="14:16" x14ac:dyDescent="0.25">
      <c r="N75" s="18" t="s">
        <v>491</v>
      </c>
      <c r="O75" s="18" t="s">
        <v>492</v>
      </c>
      <c r="P75" s="19">
        <v>1</v>
      </c>
    </row>
    <row r="76" spans="14:16" x14ac:dyDescent="0.25">
      <c r="N76" s="18" t="s">
        <v>493</v>
      </c>
      <c r="O76" s="18" t="s">
        <v>494</v>
      </c>
      <c r="P76" s="19">
        <v>1</v>
      </c>
    </row>
    <row r="77" spans="14:16" x14ac:dyDescent="0.25">
      <c r="N77" s="18" t="s">
        <v>495</v>
      </c>
      <c r="O77" s="18" t="s">
        <v>496</v>
      </c>
      <c r="P77" s="19">
        <v>10</v>
      </c>
    </row>
    <row r="78" spans="14:16" x14ac:dyDescent="0.25">
      <c r="N78" s="18" t="s">
        <v>497</v>
      </c>
      <c r="O78" s="18" t="s">
        <v>498</v>
      </c>
      <c r="P78" s="19">
        <v>5</v>
      </c>
    </row>
    <row r="79" spans="14:16" x14ac:dyDescent="0.25">
      <c r="N79" s="18" t="s">
        <v>499</v>
      </c>
      <c r="O79" s="18" t="s">
        <v>500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25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25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25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25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25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25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25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25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25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25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25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25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25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25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25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25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25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25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25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25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25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25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25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25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25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113</v>
      </c>
      <c r="B47" t="s">
        <v>114</v>
      </c>
      <c r="C47">
        <v>7</v>
      </c>
      <c r="J47" s="1"/>
    </row>
    <row r="48" spans="1:10" x14ac:dyDescent="0.25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25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25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25">
      <c r="A51" s="5" t="s">
        <v>121</v>
      </c>
      <c r="B51" t="s">
        <v>122</v>
      </c>
      <c r="C51">
        <v>7</v>
      </c>
      <c r="J51" s="1"/>
    </row>
    <row r="52" spans="1:10" x14ac:dyDescent="0.25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25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25">
      <c r="A55" s="5" t="s">
        <v>129</v>
      </c>
      <c r="B55" t="s">
        <v>130</v>
      </c>
      <c r="C55">
        <v>7</v>
      </c>
      <c r="J55" s="1"/>
    </row>
    <row r="56" spans="1:10" x14ac:dyDescent="0.25">
      <c r="A56" s="5" t="s">
        <v>131</v>
      </c>
      <c r="B56" t="s">
        <v>132</v>
      </c>
      <c r="C56">
        <v>7</v>
      </c>
      <c r="J56" s="1"/>
    </row>
    <row r="57" spans="1:10" x14ac:dyDescent="0.25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25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25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25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25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25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25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25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25">
      <c r="A66" s="5" t="s">
        <v>150</v>
      </c>
      <c r="B66" t="s">
        <v>151</v>
      </c>
      <c r="C66">
        <v>8</v>
      </c>
      <c r="J66" s="1"/>
    </row>
    <row r="67" spans="1:10" x14ac:dyDescent="0.25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153</v>
      </c>
      <c r="B68" t="s">
        <v>154</v>
      </c>
      <c r="C68">
        <v>8</v>
      </c>
      <c r="J68" s="1"/>
    </row>
    <row r="69" spans="1:10" x14ac:dyDescent="0.25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25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25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25">
      <c r="A72" s="5" t="s">
        <v>162</v>
      </c>
      <c r="B72" t="s">
        <v>163</v>
      </c>
      <c r="C72">
        <v>8</v>
      </c>
      <c r="J72" s="1"/>
    </row>
    <row r="73" spans="1:10" x14ac:dyDescent="0.25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25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25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25">
      <c r="A76" s="5" t="s">
        <v>170</v>
      </c>
      <c r="B76" t="s">
        <v>229</v>
      </c>
      <c r="C76">
        <v>8</v>
      </c>
      <c r="J76" s="1"/>
    </row>
    <row r="77" spans="1:10" x14ac:dyDescent="0.25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25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25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25">
      <c r="A80" s="5" t="s">
        <v>178</v>
      </c>
      <c r="B80" t="s">
        <v>230</v>
      </c>
      <c r="C80">
        <v>8</v>
      </c>
      <c r="J80" s="1"/>
    </row>
    <row r="81" spans="1:10" x14ac:dyDescent="0.25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25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25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25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25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25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25">
      <c r="A87" s="5" t="s">
        <v>190</v>
      </c>
      <c r="B87" t="s">
        <v>191</v>
      </c>
      <c r="C87">
        <v>9</v>
      </c>
      <c r="J87" s="1"/>
    </row>
    <row r="88" spans="1:10" x14ac:dyDescent="0.25">
      <c r="A88" s="5" t="s">
        <v>192</v>
      </c>
      <c r="B88" t="s">
        <v>232</v>
      </c>
      <c r="C88">
        <v>9</v>
      </c>
      <c r="J88" s="1"/>
    </row>
    <row r="89" spans="1:10" x14ac:dyDescent="0.25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25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25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25">
      <c r="A92" s="5" t="s">
        <v>197</v>
      </c>
      <c r="B92" t="s">
        <v>235</v>
      </c>
      <c r="C92">
        <v>9</v>
      </c>
      <c r="J92" s="1"/>
    </row>
    <row r="93" spans="1:10" x14ac:dyDescent="0.25">
      <c r="A93" s="5" t="s">
        <v>198</v>
      </c>
      <c r="B93" t="s">
        <v>199</v>
      </c>
      <c r="C93">
        <v>9</v>
      </c>
      <c r="J93" s="1"/>
    </row>
    <row r="94" spans="1:10" x14ac:dyDescent="0.25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25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25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25">
      <c r="A97" s="5" t="s">
        <v>204</v>
      </c>
      <c r="B97" t="s">
        <v>205</v>
      </c>
      <c r="C97">
        <v>9</v>
      </c>
      <c r="J97" s="1"/>
    </row>
    <row r="98" spans="1:10" x14ac:dyDescent="0.25">
      <c r="A98" s="5" t="s">
        <v>206</v>
      </c>
      <c r="B98" t="s">
        <v>207</v>
      </c>
      <c r="C98">
        <v>9</v>
      </c>
      <c r="J98" s="1"/>
    </row>
    <row r="99" spans="1:10" x14ac:dyDescent="0.25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25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25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216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47</v>
      </c>
      <c r="B16" s="9">
        <v>3</v>
      </c>
    </row>
    <row r="17" spans="1:2" x14ac:dyDescent="0.25">
      <c r="A17" s="8" t="s">
        <v>50</v>
      </c>
      <c r="B17" s="8">
        <v>3</v>
      </c>
    </row>
    <row r="18" spans="1:2" x14ac:dyDescent="0.25">
      <c r="A18" s="9" t="s">
        <v>53</v>
      </c>
      <c r="B18" s="9">
        <v>3</v>
      </c>
    </row>
    <row r="19" spans="1:2" x14ac:dyDescent="0.25">
      <c r="A19" s="8" t="s">
        <v>55</v>
      </c>
      <c r="B19" s="8">
        <v>3</v>
      </c>
    </row>
    <row r="20" spans="1:2" x14ac:dyDescent="0.25">
      <c r="A20" s="9" t="s">
        <v>57</v>
      </c>
      <c r="B20" s="9">
        <v>3</v>
      </c>
    </row>
    <row r="21" spans="1:2" x14ac:dyDescent="0.25">
      <c r="A21" s="8" t="s">
        <v>59</v>
      </c>
      <c r="B21" s="8">
        <v>3</v>
      </c>
    </row>
    <row r="22" spans="1:2" x14ac:dyDescent="0.25">
      <c r="A22" s="9" t="s">
        <v>62</v>
      </c>
      <c r="B22" s="9">
        <v>4</v>
      </c>
    </row>
    <row r="23" spans="1:2" x14ac:dyDescent="0.25">
      <c r="A23" s="8" t="s">
        <v>64</v>
      </c>
      <c r="B23" s="8">
        <v>4</v>
      </c>
    </row>
    <row r="24" spans="1:2" x14ac:dyDescent="0.25">
      <c r="A24" s="9" t="s">
        <v>67</v>
      </c>
      <c r="B24" s="9">
        <v>4</v>
      </c>
    </row>
    <row r="25" spans="1:2" x14ac:dyDescent="0.25">
      <c r="A25" s="8" t="s">
        <v>70</v>
      </c>
      <c r="B25" s="8">
        <v>4</v>
      </c>
    </row>
    <row r="26" spans="1:2" x14ac:dyDescent="0.25">
      <c r="A26" s="9" t="s">
        <v>73</v>
      </c>
      <c r="B26" s="9">
        <v>4</v>
      </c>
    </row>
    <row r="27" spans="1:2" x14ac:dyDescent="0.25">
      <c r="A27" s="8" t="s">
        <v>75</v>
      </c>
      <c r="B27" s="8">
        <v>4</v>
      </c>
    </row>
    <row r="28" spans="1:2" x14ac:dyDescent="0.25">
      <c r="A28" s="9" t="s">
        <v>78</v>
      </c>
      <c r="B28" s="9">
        <v>5</v>
      </c>
    </row>
    <row r="29" spans="1:2" x14ac:dyDescent="0.25">
      <c r="A29" s="8" t="s">
        <v>217</v>
      </c>
      <c r="B29" s="8">
        <v>5</v>
      </c>
    </row>
    <row r="30" spans="1:2" x14ac:dyDescent="0.25">
      <c r="A30" s="9" t="s">
        <v>83</v>
      </c>
      <c r="B30" s="9">
        <v>5</v>
      </c>
    </row>
    <row r="31" spans="1:2" x14ac:dyDescent="0.25">
      <c r="A31" s="8" t="s">
        <v>85</v>
      </c>
      <c r="B31" s="8">
        <v>5</v>
      </c>
    </row>
    <row r="32" spans="1:2" x14ac:dyDescent="0.25">
      <c r="A32" s="9" t="s">
        <v>218</v>
      </c>
      <c r="B32" s="9">
        <v>5</v>
      </c>
    </row>
    <row r="33" spans="1:3" x14ac:dyDescent="0.25">
      <c r="A33" s="8" t="s">
        <v>88</v>
      </c>
      <c r="B33" s="8">
        <v>5</v>
      </c>
    </row>
    <row r="34" spans="1:3" x14ac:dyDescent="0.25">
      <c r="A34" s="9" t="s">
        <v>90</v>
      </c>
      <c r="B34" s="9">
        <v>6</v>
      </c>
    </row>
    <row r="35" spans="1:3" x14ac:dyDescent="0.25">
      <c r="A35" s="8" t="s">
        <v>93</v>
      </c>
      <c r="B35" s="8">
        <v>6</v>
      </c>
    </row>
    <row r="36" spans="1:3" x14ac:dyDescent="0.25">
      <c r="A36" s="9" t="s">
        <v>95</v>
      </c>
      <c r="B36" s="9">
        <v>6</v>
      </c>
    </row>
    <row r="37" spans="1:3" x14ac:dyDescent="0.25">
      <c r="A37" s="8" t="s">
        <v>97</v>
      </c>
      <c r="B37" s="8">
        <v>6</v>
      </c>
    </row>
    <row r="38" spans="1:3" x14ac:dyDescent="0.25">
      <c r="A38" s="9" t="s">
        <v>219</v>
      </c>
      <c r="B38" s="9">
        <v>6</v>
      </c>
    </row>
    <row r="39" spans="1:3" x14ac:dyDescent="0.25">
      <c r="A39" s="8" t="s">
        <v>101</v>
      </c>
      <c r="B39" s="8">
        <v>6</v>
      </c>
    </row>
    <row r="40" spans="1:3" x14ac:dyDescent="0.25">
      <c r="A40" s="9" t="s">
        <v>104</v>
      </c>
      <c r="B40" s="9">
        <v>6</v>
      </c>
    </row>
    <row r="41" spans="1:3" x14ac:dyDescent="0.25">
      <c r="A41" s="8" t="s">
        <v>220</v>
      </c>
      <c r="B41" s="8">
        <v>7</v>
      </c>
    </row>
    <row r="42" spans="1:3" x14ac:dyDescent="0.25">
      <c r="A42" s="9" t="s">
        <v>107</v>
      </c>
      <c r="B42" s="9">
        <v>7</v>
      </c>
    </row>
    <row r="43" spans="1:3" x14ac:dyDescent="0.25">
      <c r="A43" s="11" t="s">
        <v>245</v>
      </c>
      <c r="B43" s="11">
        <v>7</v>
      </c>
      <c r="C43" s="9" t="s">
        <v>252</v>
      </c>
    </row>
    <row r="44" spans="1:3" x14ac:dyDescent="0.25">
      <c r="A44" s="8" t="s">
        <v>255</v>
      </c>
      <c r="B44" s="8">
        <v>7</v>
      </c>
      <c r="C44" s="10" t="s">
        <v>250</v>
      </c>
    </row>
    <row r="45" spans="1:3" x14ac:dyDescent="0.25">
      <c r="A45" s="10" t="s">
        <v>256</v>
      </c>
      <c r="B45" s="10">
        <v>7</v>
      </c>
      <c r="C45" s="10" t="s">
        <v>279</v>
      </c>
    </row>
    <row r="46" spans="1:3" x14ac:dyDescent="0.25">
      <c r="A46" s="8" t="s">
        <v>246</v>
      </c>
      <c r="B46" s="8">
        <v>7</v>
      </c>
    </row>
    <row r="47" spans="1:3" x14ac:dyDescent="0.25">
      <c r="A47" s="10" t="s">
        <v>247</v>
      </c>
      <c r="B47" s="10">
        <v>7</v>
      </c>
      <c r="C47" s="11" t="s">
        <v>251</v>
      </c>
    </row>
    <row r="48" spans="1:3" x14ac:dyDescent="0.25">
      <c r="A48" s="10" t="s">
        <v>254</v>
      </c>
      <c r="B48" s="11">
        <v>7</v>
      </c>
      <c r="C48" s="10" t="s">
        <v>275</v>
      </c>
    </row>
    <row r="49" spans="1:4" x14ac:dyDescent="0.25">
      <c r="A49" s="8" t="s">
        <v>249</v>
      </c>
      <c r="B49" s="8">
        <v>7</v>
      </c>
    </row>
    <row r="50" spans="1:4" x14ac:dyDescent="0.25">
      <c r="A50" s="11" t="s">
        <v>253</v>
      </c>
      <c r="B50" s="11">
        <v>7</v>
      </c>
    </row>
    <row r="51" spans="1:4" x14ac:dyDescent="0.25">
      <c r="A51" s="8" t="s">
        <v>224</v>
      </c>
      <c r="B51" s="8">
        <v>8</v>
      </c>
    </row>
    <row r="52" spans="1:4" x14ac:dyDescent="0.25">
      <c r="A52" s="9" t="s">
        <v>142</v>
      </c>
      <c r="B52" s="9">
        <v>8</v>
      </c>
    </row>
    <row r="53" spans="1:4" x14ac:dyDescent="0.25">
      <c r="A53" s="8" t="s">
        <v>225</v>
      </c>
      <c r="B53" s="8">
        <v>8</v>
      </c>
    </row>
    <row r="54" spans="1:4" x14ac:dyDescent="0.25">
      <c r="A54" s="9" t="s">
        <v>260</v>
      </c>
      <c r="B54" s="9">
        <v>8</v>
      </c>
    </row>
    <row r="55" spans="1:4" x14ac:dyDescent="0.25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25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25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25">
      <c r="A58" s="8" t="s">
        <v>266</v>
      </c>
      <c r="B58" s="8">
        <v>8</v>
      </c>
    </row>
    <row r="59" spans="1:4" x14ac:dyDescent="0.25">
      <c r="A59" s="10" t="s">
        <v>265</v>
      </c>
      <c r="B59" s="10">
        <v>8</v>
      </c>
      <c r="C59" s="10" t="s">
        <v>270</v>
      </c>
      <c r="D59" s="9"/>
    </row>
    <row r="60" spans="1:4" x14ac:dyDescent="0.25">
      <c r="A60" s="9" t="s">
        <v>180</v>
      </c>
      <c r="B60" s="9">
        <v>9</v>
      </c>
    </row>
    <row r="61" spans="1:4" x14ac:dyDescent="0.25">
      <c r="A61" s="8" t="s">
        <v>182</v>
      </c>
      <c r="B61" s="8">
        <v>9</v>
      </c>
    </row>
    <row r="62" spans="1:4" x14ac:dyDescent="0.25">
      <c r="A62" s="10" t="s">
        <v>273</v>
      </c>
      <c r="B62" s="10">
        <v>9</v>
      </c>
      <c r="C62" s="11" t="s">
        <v>278</v>
      </c>
    </row>
    <row r="63" spans="1:4" x14ac:dyDescent="0.25">
      <c r="A63" s="8" t="s">
        <v>282</v>
      </c>
      <c r="B63" s="8">
        <v>9</v>
      </c>
      <c r="C63" s="11" t="s">
        <v>248</v>
      </c>
    </row>
    <row r="64" spans="1:4" x14ac:dyDescent="0.25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25">
      <c r="A65" s="8" t="s">
        <v>283</v>
      </c>
      <c r="B65" s="8">
        <v>9</v>
      </c>
      <c r="C65" s="9" t="s">
        <v>277</v>
      </c>
    </row>
    <row r="66" spans="1:3" x14ac:dyDescent="0.25">
      <c r="A66" s="11" t="s">
        <v>276</v>
      </c>
      <c r="B66" s="11">
        <v>9</v>
      </c>
    </row>
    <row r="67" spans="1:3" x14ac:dyDescent="0.25">
      <c r="A67" s="9" t="s">
        <v>284</v>
      </c>
      <c r="B67" s="9">
        <v>9</v>
      </c>
    </row>
    <row r="68" spans="1:3" x14ac:dyDescent="0.25">
      <c r="A68" s="11" t="s">
        <v>285</v>
      </c>
      <c r="B68" s="11">
        <v>9</v>
      </c>
    </row>
    <row r="69" spans="1:3" x14ac:dyDescent="0.25">
      <c r="B69" s="10"/>
    </row>
    <row r="75" spans="1:3" x14ac:dyDescent="0.25">
      <c r="A75" t="s">
        <v>257</v>
      </c>
      <c r="B75">
        <v>17</v>
      </c>
    </row>
    <row r="76" spans="1:3" x14ac:dyDescent="0.25">
      <c r="A76" t="s">
        <v>258</v>
      </c>
      <c r="B76">
        <v>4</v>
      </c>
    </row>
    <row r="77" spans="1:3" x14ac:dyDescent="0.25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2026-04-26T18:52:02Z</dcterms:modified>
</cp:coreProperties>
</file>