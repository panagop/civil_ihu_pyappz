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F372350A-183D-4168-8FCA-7F489E29B2A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MAP" hidden="1" xlm="1">#NAME?</definedName>
    <definedName name="_xleta.MAX" hidden="1" xlm="1">#NAME?</definedName>
    <definedName name="_xleta.N" hidden="1" xlm="1">#NAME?</definedName>
    <definedName name="_xleta.SORT" hidden="1" xlm="1">#NAME?</definedName>
    <definedName name="_xleta.T" hidden="1" xlm="1">#NAME?</definedName>
    <definedName name="_xlpm.k" hidden="1" xlm="1">#NAME?</definedName>
    <definedName name="_xlpm.n" hidden="1" xlm="1">#NAME?</definedName>
    <definedName name="_xlpm.s" hidden="1" xlm="1">#NAME?</definedName>
    <definedName name="_xlpm.u" hidden="1" xlm="1">#NAME?</definedName>
    <definedName name="_xlpm.x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3" l="1"/>
  <c r="J3" i="3"/>
  <c r="J4" i="3"/>
  <c r="J5" i="3"/>
  <c r="J6" i="3"/>
  <c r="J7" i="3"/>
  <c r="J8" i="3"/>
  <c r="J11" i="3"/>
  <c r="J12" i="3"/>
  <c r="J13" i="3"/>
  <c r="J14" i="3"/>
  <c r="J15" i="3"/>
  <c r="O31" i="2" s="1"/>
  <c r="J31" i="2" s="1"/>
  <c r="J16" i="3"/>
  <c r="J17" i="3"/>
  <c r="O29" i="2" s="1"/>
  <c r="J29" i="2" s="1"/>
  <c r="J18" i="3"/>
  <c r="O19" i="2" s="1"/>
  <c r="J19" i="2" s="1"/>
  <c r="J19" i="3"/>
  <c r="J20" i="3"/>
  <c r="O32" i="2" s="1"/>
  <c r="J32" i="2" s="1"/>
  <c r="J21" i="3"/>
  <c r="O28" i="2" s="1"/>
  <c r="J28" i="2" s="1"/>
  <c r="J22" i="3"/>
  <c r="O26" i="2" s="1"/>
  <c r="J26" i="2" s="1"/>
  <c r="J23" i="3"/>
  <c r="O41" i="2" s="1"/>
  <c r="J41" i="2" s="1"/>
  <c r="J24" i="3"/>
  <c r="J25" i="3"/>
  <c r="O96" i="2" s="1"/>
  <c r="J96" i="2" s="1"/>
  <c r="J26" i="3"/>
  <c r="O38" i="2" s="1"/>
  <c r="J38" i="2" s="1"/>
  <c r="J27" i="3"/>
  <c r="J28" i="3"/>
  <c r="J29" i="3"/>
  <c r="J30" i="3"/>
  <c r="J31" i="3"/>
  <c r="J32" i="3"/>
  <c r="J33" i="3"/>
  <c r="J34" i="3"/>
  <c r="J35" i="3"/>
  <c r="J38" i="3"/>
  <c r="O82" i="2" s="1"/>
  <c r="J82" i="2" s="1"/>
  <c r="J39" i="3"/>
  <c r="J40" i="3"/>
  <c r="O87" i="2" s="1"/>
  <c r="J87" i="2" s="1"/>
  <c r="J41" i="3"/>
  <c r="O67" i="2" s="1"/>
  <c r="J67" i="2" s="1"/>
  <c r="J42" i="3"/>
  <c r="J43" i="3"/>
  <c r="O73" i="2" s="1"/>
  <c r="J73" i="2" s="1"/>
  <c r="J44" i="3"/>
  <c r="O18" i="2" s="1"/>
  <c r="J18" i="2" s="1"/>
  <c r="J45" i="3"/>
  <c r="J2" i="3"/>
  <c r="R1" i="3" a="1"/>
  <c r="R1" i="3" s="1"/>
  <c r="J42" i="2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M87" i="2"/>
  <c r="O86" i="2"/>
  <c r="J86" i="2" s="1"/>
  <c r="M86" i="2"/>
  <c r="M85" i="2"/>
  <c r="J85" i="2"/>
  <c r="M84" i="2"/>
  <c r="J84" i="2"/>
  <c r="O83" i="2"/>
  <c r="J83" i="2" s="1"/>
  <c r="M83" i="2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M73" i="2"/>
  <c r="M72" i="2"/>
  <c r="J72" i="2"/>
  <c r="M71" i="2"/>
  <c r="J71" i="2"/>
  <c r="L70" i="2"/>
  <c r="M70" i="2" s="1"/>
  <c r="J70" i="2"/>
  <c r="M69" i="2"/>
  <c r="J69" i="2"/>
  <c r="M68" i="2"/>
  <c r="J68" i="2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L41" i="2"/>
  <c r="M41" i="2" s="1"/>
  <c r="L40" i="2"/>
  <c r="M40" i="2" s="1"/>
  <c r="J40" i="2"/>
  <c r="O39" i="2"/>
  <c r="J39" i="2" s="1"/>
  <c r="L39" i="2"/>
  <c r="M39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L32" i="2"/>
  <c r="M32" i="2" s="1"/>
  <c r="M31" i="2"/>
  <c r="O30" i="2"/>
  <c r="J30" i="2" s="1"/>
  <c r="M30" i="2"/>
  <c r="M29" i="2"/>
  <c r="L28" i="2"/>
  <c r="M28" i="2" s="1"/>
  <c r="O27" i="2"/>
  <c r="J27" i="2" s="1"/>
  <c r="L27" i="2"/>
  <c r="M27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M19" i="2"/>
  <c r="R18" i="2" a="1"/>
  <c r="R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<sst xmlns="http://schemas.openxmlformats.org/spreadsheetml/2006/main" count="1262" uniqueCount="514">
  <si>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</si>
  <si>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</si>
  <si>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</si>
  <si>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</si>
  <si>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</si>
  <si>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</si>
  <si>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</si>
  <si>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</si>
  <si>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</si>
  <si>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</si>
  <si>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</si>
  <si>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</si>
  <si>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</si>
  <si>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</si>
  <si>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</si>
  <si>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</si>
  <si>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</si>
  <si>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</si>
  <si>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</si>
  <si>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</si>
  <si>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</si>
  <si>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</si>
  <si>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</si>
  <si>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</si>
  <si>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</si>
  <si>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</si>
  <si>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</si>
  <si>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</si>
  <si>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</si>
  <si>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</si>
  <si>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</si>
  <si>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</si>
  <si>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</si>
  <si>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</si>
  <si>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</si>
  <si>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</si>
  <si>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</si>
  <si>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</si>
  <si>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</si>
  <si>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</si>
  <si>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</si>
  <si>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</si>
  <si>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</si>
  <si>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</si>
  <si>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</si>
  <si>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</si>
  <si>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</si>
  <si>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</si>
  <si>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</si>
  <si>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</si>
  <si>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</si>
  <si>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</si>
  <si>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</si>
  <si>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</si>
  <si>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</si>
  <si>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</si>
  <si>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</si>
  <si>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</si>
  <si>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</si>
  <si>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</si>
  <si>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</si>
  <si>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</si>
  <si>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</si>
  <si>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</si>
  <si>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</si>
  <si>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</si>
  <si>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</si>
  <si>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</si>
  <si>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</si>
  <si>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</si>
  <si>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</si>
  <si>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</si>
  <si>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</si>
  <si>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</si>
  <si>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</si>
  <si>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</si>
  <si>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</si>
  <si>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</si>
  <si>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</si>
  <si>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</si>
  <si>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</si>
  <si>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</si>
  <si>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</si>
  <si>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</si>
  <si>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</si>
  <si>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</si>
  <si>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</si>
  <si>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</si>
  <si>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</si>
  <si>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</si>
  <si>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</si>
  <si>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</si>
  <si>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</si>
  <si>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</si>
  <si>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</si>
  <si>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</si>
  <si>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</si>
  <si>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</si>
  <si>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</si>
  <si>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</si>
  <si>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</si>
  <si>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</si>
  <si>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</si>
  <si>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</si>
  <si>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</si>
  <si>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</si>
  <si>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</si>
  <si>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</si>
  <si>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</si>
  <si>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</si>
  <si>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</si>
  <si>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</si>
  <si>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</si>
  <si>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</si>
  <si>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</si>
  <si>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</si>
  <si>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</si>
  <si>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</si>
  <si>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</si>
  <si>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</si>
  <si>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</si>
  <si>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</si>
  <si>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</si>
  <si>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</si>
  <si>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</si>
  <si>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</si>
  <si>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</si>
  <si>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</si>
  <si>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</si>
  <si>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</si>
  <si>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</si>
  <si>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</si>
  <si>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</si>
  <si>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</si>
  <si>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</si>
  <si>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</si>
  <si>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</si>
  <si>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</si>
  <si>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</si>
  <si>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</si>
  <si>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</si>
  <si>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</si>
  <si>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</si>
  <si>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</si>
  <si>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</si>
  <si>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</si>
  <si>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</si>
  <si>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</si>
  <si>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</si>
  <si>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</si>
  <si>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</si>
  <si>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</si>
  <si>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</si>
  <si>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</si>
  <si>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</si>
  <si>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</si>
  <si>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</si>
  <si>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</si>
  <si>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</si>
  <si>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</si>
  <si>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</si>
  <si>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</si>
  <si>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</si>
  <si>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</si>
  <si>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</si>
  <si>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</si>
  <si>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</si>
  <si>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</si>
  <si>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</si>
  <si>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</si>
  <si>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</si>
  <si>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</si>
  <si>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</si>
  <si>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</si>
  <si>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</si>
  <si>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</si>
  <si>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</si>
  <si>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</si>
  <si>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</si>
  <si>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</si>
  <si>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</si>
  <si>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</si>
  <si>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</si>
  <si>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</si>
  <si>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</si>
  <si>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</si>
  <si>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</si>
  <si>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</si>
  <si>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</si>
  <si>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</si>
  <si>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</si>
  <si>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</si>
  <si>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</si>
  <si>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</si>
  <si>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</si>
  <si>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</si>
  <si>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</si>
  <si>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</si>
  <si>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</si>
  <si>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</si>
  <si>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</si>
  <si>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</si>
  <si>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</si>
  <si>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</si>
  <si>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</si>
  <si>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</si>
  <si>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</si>
  <si>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</si>
  <si>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</si>
  <si>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</si>
  <si>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</si>
  <si>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</si>
  <si>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</si>
  <si>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</si>
  <si>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</si>
  <si>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</si>
  <si>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</si>
  <si>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</si>
  <si>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</si>
  <si>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</si>
  <si>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</si>
  <si>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</si>
  <si>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</si>
  <si>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</si>
  <si>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</si>
  <si>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</si>
  <si>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</si>
  <si>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</si>
  <si>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</si>
  <si>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</si>
  <si>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</si>
  <si>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</si>
  <si>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</si>
  <si>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</si>
  <si>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</si>
  <si>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</si>
  <si>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</si>
  <si>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</si>
  <si>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</si>
  <si>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</si>
  <si>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</si>
  <si>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</si>
  <si>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</si>
  <si>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</si>
  <si>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</si>
  <si>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</si>
  <si>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</si>
  <si>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</si>
  <si>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</si>
  <si>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</si>
  <si>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</si>
  <si>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</si>
  <si>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</si>
  <si>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</si>
  <si>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</si>
  <si>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</si>
  <si>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</si>
  <si>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</si>
  <si>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</si>
  <si>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</si>
  <si>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</si>
  <si>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</si>
  <si>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</si>
  <si>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</si>
  <si>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</si>
  <si>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</si>
  <si>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</si>
  <si>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</si>
  <si>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</si>
  <si>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</si>
  <si>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</si>
  <si>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</si>
  <si>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</si>
  <si>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</si>
  <si>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</si>
  <si>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</si>
  <si>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</si>
  <si>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</si>
  <si>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</si>
  <si>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</si>
  <si>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</si>
  <si>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</si>
  <si>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</si>
  <si>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</si>
  <si>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</si>
  <si>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</si>
  <si>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</si>
  <si>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</si>
  <si>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</si>
  <si>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</si>
  <si>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</si>
  <si>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</si>
  <si>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</si>
  <si>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</si>
  <si>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</si>
  <si>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</si>
  <si>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</si>
  <si>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</si>
  <si>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</si>
  <si>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</si>
  <si>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</si>
  <si>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</si>
  <si>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</si>
  <si>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</si>
  <si>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</si>
  <si>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</si>
  <si>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</si>
  <si>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</si>
  <si>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</si>
  <si>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</si>
  <si>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</si>
  <si>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</si>
  <si>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</si>
  <si>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</si>
  <si>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</si>
  <si>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</si>
  <si>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</si>
  <si>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</si>
  <si>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</si>
  <si>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</si>
  <si>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</si>
  <si>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</si>
  <si>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</si>
  <si>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</si>
  <si>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</si>
  <si>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</si>
  <si>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</si>
  <si>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</si>
  <si>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</si>
  <si>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</si>
  <si>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</si>
  <si>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</si>
  <si>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</si>
  <si>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</si>
  <si>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</si>
  <si>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</si>
  <si>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</si>
  <si>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</si>
  <si>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</si>
  <si>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</si>
  <si>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</si>
  <si>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</si>
  <si>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</si>
  <si>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</si>
  <si>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</si>
  <si>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</si>
  <si>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</si>
  <si>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</si>
  <si>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</si>
  <si>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</si>
  <si>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</si>
  <si>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</si>
  <si>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</si>
  <si>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</si>
  <si>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</si>
  <si>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</si>
  <si>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</si>
  <si>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</si>
  <si>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</si>
  <si>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</si>
  <si>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</si>
  <si>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</si>
  <si>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</si>
  <si>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</si>
  <si>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</si>
  <si>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</si>
  <si>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</si>
  <si>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</si>
  <si>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</si>
  <si>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</si>
  <si>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</si>
  <si>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</si>
  <si>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</si>
  <si>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</si>
  <si>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</si>
  <si>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</si>
  <si>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</si>
  <si>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</si>
  <si>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</si>
  <si>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</si>
  <si>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</si>
  <si>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405Θ</t>
  </si>
  <si>
    <t>ΚΑΤΑΣΚΕΥΕΣ ΚΤΙΡΙΩΝ-Θ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</si>
  <si>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</si>
  <si>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</si>
  <si>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</si>
  <si>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</si>
  <si>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</si>
  <si>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</si>
  <si>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Τεχνικά Έργα Οδοποιίας</t>
  </si>
  <si>
    <t>501Ε</t>
  </si>
  <si>
    <t>ΔΥΝΑΜΙΚΗ ΤΩΝ ΚΑΤΑΣΚΕΥΩΝ-Ε</t>
  </si>
  <si>
    <t>Περιβαλλοντική Διαχείριση Έργων</t>
  </si>
  <si>
    <t>501Θ</t>
  </si>
  <si>
    <t>ΔΥΝΑΜΙΚΗ ΤΩΝ ΚΑΤΑΣΚΕΥΩΝ-Θ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</si>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</sst>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G30" sqref="G30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tabSelected="1" zoomScale="85" zoomScaleNormal="85" workbookViewId="0">
      <pane ySplit="1" topLeftCell="A2" activePane="bottomLeft" state="frozen"/>
      <selection pane="bottomLeft" activeCell="H17" sqref="H17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42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119</v>
      </c>
      <c r="K2" s="22">
        <v>3</v>
      </c>
      <c r="N2" s="22">
        <v>119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183</v>
      </c>
      <c r="K3">
        <v>4</v>
      </c>
      <c r="L3" s="22">
        <f>COUNTA(_xlfn.TEXTSPLIT(H3,","))</f>
        <v>1</v>
      </c>
      <c r="M3" s="22">
        <f t="shared" ref="M3:M34" si="1">K3-L3</f>
        <v>3</v>
      </c>
      <c r="N3" s="22">
        <v>154</v>
      </c>
      <c r="O3" s="22">
        <f>VLOOKUP(Table1[[#This Row],[course_name]],ΤΕΙ!I:J,2,FALSE)</f>
        <v>29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106</v>
      </c>
      <c r="K4" s="22">
        <v>2</v>
      </c>
      <c r="M4" s="22">
        <f t="shared" si="1"/>
        <v>2</v>
      </c>
      <c r="N4" s="22">
        <v>96</v>
      </c>
      <c r="O4" s="22">
        <f>VLOOKUP(Table1[[#This Row],[course_name]],ΤΕΙ!I:J,2,FALSE)</f>
        <v>10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115</v>
      </c>
      <c r="K5" s="22">
        <v>3</v>
      </c>
      <c r="M5" s="22">
        <f t="shared" si="1"/>
        <v>3</v>
      </c>
      <c r="N5" s="22">
        <v>104</v>
      </c>
      <c r="O5" s="22">
        <f>VLOOKUP(Table1[[#This Row],[course_name]],ΤΕΙ!I:J,2,FALSE)</f>
        <v>11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81</v>
      </c>
      <c r="K6" s="22">
        <v>2</v>
      </c>
      <c r="M6" s="22">
        <f t="shared" si="1"/>
        <v>2</v>
      </c>
      <c r="N6" s="22">
        <v>77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103</v>
      </c>
      <c r="K7" s="22">
        <v>3</v>
      </c>
      <c r="M7" s="22">
        <f t="shared" si="1"/>
        <v>3</v>
      </c>
      <c r="N7" s="22">
        <v>97</v>
      </c>
      <c r="O7" s="22">
        <f>VLOOKUP(Table1[[#This Row],[course_name]],ΤΕΙ!I:J,2,FALSE)</f>
        <v>6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82</v>
      </c>
      <c r="K8" s="22">
        <v>2</v>
      </c>
      <c r="M8" s="22">
        <f t="shared" si="1"/>
        <v>2</v>
      </c>
      <c r="N8" s="22">
        <v>75</v>
      </c>
      <c r="O8" s="22">
        <f>VLOOKUP(Table1[[#This Row],[course_name]],ΤΕΙ!I:J,2,FALSE)</f>
        <v>7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55</v>
      </c>
      <c r="K9">
        <v>1</v>
      </c>
      <c r="L9" s="22">
        <f t="shared" ref="L9:L15" si="2">COUNTA(_xlfn.TEXTSPLIT(H9,","))</f>
        <v>1</v>
      </c>
      <c r="M9" s="22">
        <f t="shared" si="1"/>
        <v>0</v>
      </c>
      <c r="N9" s="22">
        <v>41</v>
      </c>
      <c r="O9" s="22">
        <f>VLOOKUP(Table1[[#This Row],[course_name]],ΤΕΙ!I:J,2,FALSE)</f>
        <v>14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91</v>
      </c>
      <c r="K10">
        <v>3</v>
      </c>
      <c r="L10" s="22">
        <f t="shared" si="2"/>
        <v>1</v>
      </c>
      <c r="M10" s="22">
        <f t="shared" si="1"/>
        <v>2</v>
      </c>
      <c r="N10" s="22">
        <v>91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137</v>
      </c>
      <c r="K11">
        <v>3</v>
      </c>
      <c r="L11" s="22">
        <f t="shared" si="2"/>
        <v>1</v>
      </c>
      <c r="M11" s="22">
        <f t="shared" si="1"/>
        <v>2</v>
      </c>
      <c r="N11" s="22">
        <v>109</v>
      </c>
      <c r="O11" s="22">
        <f>VLOOKUP(Table1[[#This Row],[course_name]],ΤΕΙ!I:J,2,FALSE)</f>
        <v>28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29</v>
      </c>
      <c r="K12">
        <v>0</v>
      </c>
      <c r="L12" s="22">
        <f t="shared" si="2"/>
        <v>1</v>
      </c>
      <c r="M12" s="22">
        <f t="shared" si="1"/>
        <v>-1</v>
      </c>
      <c r="N12" s="22">
        <v>29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17</v>
      </c>
      <c r="K13">
        <v>1</v>
      </c>
      <c r="L13" s="22">
        <f t="shared" si="2"/>
        <v>2</v>
      </c>
      <c r="M13" s="22">
        <f t="shared" si="1"/>
        <v>-1</v>
      </c>
      <c r="N13" s="22">
        <v>11</v>
      </c>
      <c r="O13" s="22">
        <f>VLOOKUP(Table1[[#This Row],[course_name]],ΤΕΙ!I:J,2,FALSE)</f>
        <v>6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42</v>
      </c>
      <c r="K14">
        <v>0</v>
      </c>
      <c r="L14" s="22">
        <f t="shared" si="2"/>
        <v>1</v>
      </c>
      <c r="M14" s="22">
        <f t="shared" si="1"/>
        <v>-1</v>
      </c>
      <c r="N14" s="22">
        <v>31</v>
      </c>
      <c r="O14" s="22">
        <f>VLOOKUP(Table1[[#This Row],[course_name]],ΤΕΙ!I:J,2,FALSE)</f>
        <v>11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50</v>
      </c>
      <c r="K15">
        <v>1</v>
      </c>
      <c r="L15" s="22">
        <f t="shared" si="2"/>
        <v>1</v>
      </c>
      <c r="M15" s="22">
        <f t="shared" si="1"/>
        <v>0</v>
      </c>
      <c r="N15" s="22">
        <v>50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29</v>
      </c>
      <c r="M16" s="22">
        <f t="shared" si="1"/>
        <v>0</v>
      </c>
      <c r="N16" s="22">
        <v>20</v>
      </c>
      <c r="O16" s="22">
        <f>VLOOKUP(Table1[[#This Row],[course_name]],ΤΕΙ!I:J,2,FALSE)</f>
        <v>9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22</v>
      </c>
      <c r="M17" s="22">
        <f t="shared" si="1"/>
        <v>0</v>
      </c>
      <c r="N17" s="22">
        <v>22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17</v>
      </c>
      <c r="M18" s="22">
        <f t="shared" si="1"/>
        <v>0</v>
      </c>
      <c r="N18" s="22">
        <v>12</v>
      </c>
      <c r="O18" s="22">
        <f>VLOOKUP(Table1[[#This Row],[course_name]],ΤΕΙ!I:J,2,FALSE)</f>
        <v>5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13</v>
      </c>
      <c r="M19" s="22">
        <f t="shared" si="1"/>
        <v>0</v>
      </c>
      <c r="N19" s="22">
        <v>8</v>
      </c>
      <c r="O19" s="22">
        <f>VLOOKUP(Table1[[#This Row],[course_name]],ΤΕΙ!I:J,2,FALSE)</f>
        <v>5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74</v>
      </c>
      <c r="K20">
        <v>2</v>
      </c>
      <c r="L20" s="22">
        <f>COUNTA(_xlfn.TEXTSPLIT(H20,","))</f>
        <v>1</v>
      </c>
      <c r="M20" s="22">
        <f t="shared" si="1"/>
        <v>1</v>
      </c>
      <c r="N20" s="22">
        <v>74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39</v>
      </c>
      <c r="M21" s="22">
        <f t="shared" si="1"/>
        <v>0</v>
      </c>
      <c r="N21" s="22">
        <v>39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30</v>
      </c>
      <c r="M22" s="22">
        <f t="shared" si="1"/>
        <v>0</v>
      </c>
      <c r="N22" s="22">
        <v>30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46275</v>
      </c>
      <c r="F23" s="2" t="s">
        <v>18</v>
      </c>
      <c r="J23" s="22">
        <f t="shared" si="0"/>
        <v>42</v>
      </c>
      <c r="K23">
        <v>0</v>
      </c>
      <c r="L23" s="22">
        <f t="shared" ref="L23:L28" si="3">COUNTA(_xlfn.TEXTSPLIT(H23,","))</f>
        <v>1</v>
      </c>
      <c r="M23" s="22">
        <f t="shared" si="1"/>
        <v>-1</v>
      </c>
      <c r="N23" s="22">
        <v>30</v>
      </c>
      <c r="O23" s="22">
        <f>VLOOKUP(Table1[[#This Row],[course_name]],ΤΕΙ!I:J,2,FALSE)</f>
        <v>12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69</v>
      </c>
      <c r="K24">
        <v>2</v>
      </c>
      <c r="L24" s="22">
        <f t="shared" si="3"/>
        <v>1</v>
      </c>
      <c r="M24" s="22">
        <f t="shared" si="1"/>
        <v>1</v>
      </c>
      <c r="N24" s="22">
        <v>69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46267</v>
      </c>
      <c r="F25" s="2" t="s">
        <v>18</v>
      </c>
      <c r="J25" s="22">
        <f t="shared" si="0"/>
        <v>106</v>
      </c>
      <c r="K25">
        <v>2</v>
      </c>
      <c r="L25" s="22">
        <f t="shared" si="3"/>
        <v>1</v>
      </c>
      <c r="M25" s="22">
        <f t="shared" si="1"/>
        <v>1</v>
      </c>
      <c r="N25" s="22">
        <v>91</v>
      </c>
      <c r="O25" s="22">
        <f>VLOOKUP(Table1[[#This Row],[course_name]],ΤΕΙ!I:J,2,FALSE)</f>
        <v>15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40</v>
      </c>
      <c r="K26">
        <v>0</v>
      </c>
      <c r="L26" s="22">
        <f t="shared" si="3"/>
        <v>1</v>
      </c>
      <c r="M26" s="22">
        <f t="shared" si="1"/>
        <v>-1</v>
      </c>
      <c r="N26" s="22">
        <v>31</v>
      </c>
      <c r="O26" s="22">
        <f>VLOOKUP(Table1[[#This Row],[course_name]],ΤΕΙ!I:J,2,FALSE)</f>
        <v>9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29</v>
      </c>
      <c r="K27">
        <v>0</v>
      </c>
      <c r="L27" s="22">
        <f t="shared" si="3"/>
        <v>1</v>
      </c>
      <c r="M27" s="22">
        <f t="shared" si="1"/>
        <v>-1</v>
      </c>
      <c r="N27" s="22">
        <v>13</v>
      </c>
      <c r="O27" s="22">
        <f>VLOOKUP(Table1[[#This Row],[course_name]],ΤΕΙ!I:J,2,FALSE)</f>
        <v>16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59</v>
      </c>
      <c r="K28">
        <v>1</v>
      </c>
      <c r="L28" s="22">
        <f t="shared" si="3"/>
        <v>1</v>
      </c>
      <c r="M28" s="22">
        <f t="shared" si="1"/>
        <v>0</v>
      </c>
      <c r="N28" s="22">
        <v>49</v>
      </c>
      <c r="O28" s="22">
        <f>VLOOKUP(Table1[[#This Row],[course_name]],ΤΕΙ!I:J,2,FALSE)</f>
        <v>10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56</v>
      </c>
      <c r="K29" s="22">
        <v>1</v>
      </c>
      <c r="M29" s="22">
        <f t="shared" si="1"/>
        <v>1</v>
      </c>
      <c r="N29" s="22">
        <v>50</v>
      </c>
      <c r="O29" s="22">
        <f>VLOOKUP(Table1[[#This Row],[course_name]],ΤΕΙ!I:J,2,FALSE)</f>
        <v>6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8</v>
      </c>
      <c r="M30" s="22">
        <f t="shared" si="1"/>
        <v>0</v>
      </c>
      <c r="N30" s="22">
        <v>2</v>
      </c>
      <c r="O30" s="22">
        <f>VLOOKUP(Table1[[#This Row],[course_name]],ΤΕΙ!I:J,2,FALSE)</f>
        <v>6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46</v>
      </c>
      <c r="M31" s="22">
        <f t="shared" si="1"/>
        <v>0</v>
      </c>
      <c r="N31" s="22">
        <v>32</v>
      </c>
      <c r="O31" s="22">
        <f>VLOOKUP(Table1[[#This Row],[course_name]],ΤΕΙ!I:J,2,FALSE)</f>
        <v>14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96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75</v>
      </c>
      <c r="O32" s="22">
        <f>VLOOKUP(Table1[[#This Row],[course_name]],ΤΕΙ!I:J,2,FALSE)</f>
        <v>21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51</v>
      </c>
      <c r="K33" s="22">
        <v>1</v>
      </c>
      <c r="M33" s="22">
        <f t="shared" si="1"/>
        <v>1</v>
      </c>
      <c r="N33" s="22">
        <v>43</v>
      </c>
      <c r="O33" s="22">
        <f>VLOOKUP(Table1[[#This Row],[course_name]],ΤΕΙ!I:J,2,FALSE)</f>
        <v>8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36</v>
      </c>
      <c r="M34" s="22">
        <f t="shared" si="1"/>
        <v>0</v>
      </c>
      <c r="N34" s="22">
        <v>36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4"/>
        <v>58</v>
      </c>
      <c r="K35" s="22">
        <v>1</v>
      </c>
      <c r="L35" s="22">
        <f t="shared" ref="L35:L41" si="5">COUNTA(_xlfn.TEXTSPLIT(H35,","))</f>
        <v>1</v>
      </c>
      <c r="M35" s="22">
        <f t="shared" ref="M35:M66" si="6">K35-L35</f>
        <v>0</v>
      </c>
      <c r="N35" s="22">
        <v>50</v>
      </c>
      <c r="O35" s="22">
        <f>VLOOKUP(Table1[[#This Row],[course_name]],ΤΕΙ!I:J,2,FALSE)</f>
        <v>8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41</v>
      </c>
      <c r="K36" s="22">
        <v>0</v>
      </c>
      <c r="L36" s="22">
        <f t="shared" si="5"/>
        <v>1</v>
      </c>
      <c r="M36" s="22">
        <f t="shared" si="6"/>
        <v>-1</v>
      </c>
      <c r="N36" s="22">
        <v>34</v>
      </c>
      <c r="O36" s="22">
        <f>VLOOKUP(Table1[[#This Row],[course_name]],ΤΕΙ!I:J,2,FALSE)</f>
        <v>7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31</v>
      </c>
      <c r="K37" s="22">
        <v>0</v>
      </c>
      <c r="L37" s="22">
        <f t="shared" si="5"/>
        <v>1</v>
      </c>
      <c r="M37" s="22">
        <f t="shared" si="6"/>
        <v>-1</v>
      </c>
      <c r="N37" s="22">
        <v>28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4"/>
        <v>101</v>
      </c>
      <c r="K38" s="22">
        <v>2</v>
      </c>
      <c r="L38" s="22">
        <f t="shared" si="5"/>
        <v>1</v>
      </c>
      <c r="M38" s="22">
        <f t="shared" si="6"/>
        <v>1</v>
      </c>
      <c r="N38" s="22">
        <v>75</v>
      </c>
      <c r="O38" s="22">
        <f>VLOOKUP(Table1[[#This Row],[course_name]],ΤΕΙ!I:J,2,FALSE)</f>
        <v>26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16</v>
      </c>
      <c r="K39" s="22">
        <v>0</v>
      </c>
      <c r="L39" s="22">
        <f t="shared" si="5"/>
        <v>1</v>
      </c>
      <c r="M39" s="22">
        <f t="shared" si="6"/>
        <v>-1</v>
      </c>
      <c r="N39" s="22">
        <v>13</v>
      </c>
      <c r="O39" s="22">
        <f>VLOOKUP(Table1[[#This Row],[course_name]],ΤΕΙ!I:J,2,FALSE)</f>
        <v>3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23</v>
      </c>
      <c r="K40" s="22">
        <v>0</v>
      </c>
      <c r="L40" s="22">
        <f t="shared" si="5"/>
        <v>1</v>
      </c>
      <c r="M40" s="22">
        <f t="shared" si="6"/>
        <v>-1</v>
      </c>
      <c r="N40" s="22">
        <v>23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4"/>
        <v>41</v>
      </c>
      <c r="K41" s="22">
        <v>0</v>
      </c>
      <c r="L41" s="22">
        <f t="shared" si="5"/>
        <v>1</v>
      </c>
      <c r="M41" s="22">
        <f t="shared" si="6"/>
        <v>-1</v>
      </c>
      <c r="N41" s="22">
        <v>35</v>
      </c>
      <c r="O41" s="22">
        <f>VLOOKUP(Table1[[#This Row],[course_name]],ΤΕΙ!I:J,2,FALSE)</f>
        <v>6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512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28</v>
      </c>
      <c r="M42" s="22">
        <f t="shared" si="6"/>
        <v>0</v>
      </c>
      <c r="N42" s="22">
        <v>28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4"/>
        <v>31</v>
      </c>
      <c r="K43" s="22">
        <v>0</v>
      </c>
      <c r="L43" s="22">
        <f>COUNTA(_xlfn.TEXTSPLIT(H43,","))</f>
        <v>1</v>
      </c>
      <c r="M43" s="22">
        <f t="shared" si="6"/>
        <v>-1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6</v>
      </c>
      <c r="M45" s="22">
        <f t="shared" si="6"/>
        <v>0</v>
      </c>
      <c r="N45" s="22">
        <v>6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3</v>
      </c>
      <c r="M46" s="22">
        <f t="shared" si="6"/>
        <v>0</v>
      </c>
      <c r="N46" s="22">
        <v>3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N47" s="22" t="s">
        <v>513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4"/>
        <v>11</v>
      </c>
      <c r="M48" s="22">
        <f t="shared" si="6"/>
        <v>0</v>
      </c>
      <c r="N48" s="22">
        <v>11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2</v>
      </c>
      <c r="M49" s="22">
        <f t="shared" si="6"/>
        <v>0</v>
      </c>
      <c r="N49" s="22">
        <v>2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4</v>
      </c>
      <c r="M50" s="22">
        <f t="shared" si="6"/>
        <v>0</v>
      </c>
      <c r="N50" s="22">
        <v>4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N51" s="22" t="s">
        <v>513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6</v>
      </c>
      <c r="M52" s="22">
        <f t="shared" si="6"/>
        <v>0</v>
      </c>
      <c r="N52" s="22">
        <v>6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3</v>
      </c>
      <c r="M53" s="22">
        <f t="shared" si="6"/>
        <v>0</v>
      </c>
      <c r="N53" s="22">
        <v>3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3</v>
      </c>
      <c r="M54" s="22">
        <f t="shared" si="6"/>
        <v>0</v>
      </c>
      <c r="N54" s="22">
        <v>3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N55" s="22" t="s">
        <v>513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N56" s="22" t="s">
        <v>513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1</v>
      </c>
      <c r="M57" s="22">
        <f t="shared" si="6"/>
        <v>0</v>
      </c>
      <c r="N57" s="22">
        <v>1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N59" s="22" t="s">
        <v>513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39</v>
      </c>
      <c r="K60" s="22">
        <v>0</v>
      </c>
      <c r="L60" s="22">
        <f>COUNTA(_xlfn.TEXTSPLIT(H60,","))</f>
        <v>1</v>
      </c>
      <c r="M60" s="22">
        <f t="shared" si="6"/>
        <v>-1</v>
      </c>
      <c r="N60" s="22">
        <v>39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4"/>
        <v>33</v>
      </c>
      <c r="K61" s="22">
        <v>0</v>
      </c>
      <c r="L61" s="22">
        <f>COUNTA(_xlfn.TEXTSPLIT(H61,","))</f>
        <v>1</v>
      </c>
      <c r="M61" s="22">
        <f t="shared" si="6"/>
        <v>-1</v>
      </c>
      <c r="N61" s="22">
        <v>25</v>
      </c>
      <c r="O61" s="22">
        <f>VLOOKUP(Table1[[#This Row],[course_name]],ΤΕΙ!I:J,2,FALSE)</f>
        <v>8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4"/>
        <v>20</v>
      </c>
      <c r="K62" s="22">
        <v>0</v>
      </c>
      <c r="L62" s="22">
        <f>COUNTA(_xlfn.TEXTSPLIT(H62,","))</f>
        <v>1</v>
      </c>
      <c r="M62" s="22">
        <f t="shared" si="6"/>
        <v>-1</v>
      </c>
      <c r="N62" s="22">
        <v>19</v>
      </c>
      <c r="O62" s="22">
        <f>VLOOKUP(Table1[[#This Row],[course_name]],ΤΕΙ!I:J,2,FALSE)</f>
        <v>1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15</v>
      </c>
      <c r="M63" s="22">
        <f t="shared" si="6"/>
        <v>0</v>
      </c>
      <c r="N63" s="22">
        <v>9</v>
      </c>
      <c r="O63" s="22">
        <f>VLOOKUP(Table1[[#This Row],[course_name]],ΤΕΙ!I:J,2,FALSE)</f>
        <v>6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5</v>
      </c>
      <c r="M64" s="22">
        <f t="shared" si="6"/>
        <v>0</v>
      </c>
      <c r="N64" s="22">
        <v>5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10</v>
      </c>
      <c r="M65" s="22">
        <f t="shared" si="6"/>
        <v>0</v>
      </c>
      <c r="N65" s="22">
        <v>5</v>
      </c>
      <c r="O65" s="22">
        <f>VLOOKUP(Table1[[#This Row],[course_name]],ΤΕΙ!I:J,2,FALSE)</f>
        <v>5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N66" s="22" t="s">
        <v>513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10</v>
      </c>
      <c r="M67" s="22">
        <f t="shared" ref="M67:M98" si="8">K67-L67</f>
        <v>0</v>
      </c>
      <c r="N67" s="22">
        <v>5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N68" s="22" t="s">
        <v>513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1</v>
      </c>
      <c r="M69" s="22">
        <f t="shared" si="8"/>
        <v>0</v>
      </c>
      <c r="N69" s="22">
        <v>1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19</v>
      </c>
      <c r="K70" s="22">
        <v>0</v>
      </c>
      <c r="L70" s="22">
        <f>COUNTA(_xlfn.TEXTSPLIT(H70,","))</f>
        <v>1</v>
      </c>
      <c r="M70" s="22">
        <f t="shared" si="8"/>
        <v>-1</v>
      </c>
      <c r="N70" s="22">
        <v>19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2</v>
      </c>
      <c r="M71" s="22">
        <f t="shared" si="8"/>
        <v>0</v>
      </c>
      <c r="N71" s="22">
        <v>2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N72" s="22" t="s">
        <v>513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20</v>
      </c>
      <c r="M73" s="22">
        <f t="shared" si="8"/>
        <v>0</v>
      </c>
      <c r="N73" s="22">
        <v>14</v>
      </c>
      <c r="O73" s="22">
        <f>VLOOKUP(Table1[[#This Row],[course_name]],ΤΕΙ!I:J,2,FALSE)</f>
        <v>6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8</v>
      </c>
      <c r="K74" s="22">
        <v>0</v>
      </c>
      <c r="L74" s="22">
        <f>COUNTA(_xlfn.TEXTSPLIT(H74,","))</f>
        <v>1</v>
      </c>
      <c r="M74" s="22">
        <f t="shared" si="8"/>
        <v>-1</v>
      </c>
      <c r="N74" s="22">
        <v>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7"/>
        <v>13</v>
      </c>
      <c r="K75" s="22">
        <v>0</v>
      </c>
      <c r="L75" s="22">
        <f>COUNTA(_xlfn.TEXTSPLIT(H75,","))</f>
        <v>1</v>
      </c>
      <c r="M75" s="22">
        <f t="shared" si="8"/>
        <v>-1</v>
      </c>
      <c r="N75" s="22">
        <v>13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N76" s="22" t="s">
        <v>513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4</v>
      </c>
      <c r="M77" s="22">
        <f t="shared" si="8"/>
        <v>0</v>
      </c>
      <c r="N77" s="22">
        <v>4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</v>
      </c>
      <c r="M78" s="22">
        <f t="shared" si="8"/>
        <v>0</v>
      </c>
      <c r="N78" s="22">
        <v>2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5</v>
      </c>
      <c r="M79" s="22">
        <f t="shared" si="8"/>
        <v>0</v>
      </c>
      <c r="N79" s="22">
        <v>5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N80" s="22" t="s">
        <v>513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7"/>
        <v>41</v>
      </c>
      <c r="K81" s="22">
        <v>0</v>
      </c>
      <c r="L81" s="22">
        <f>COUNTA(_xlfn.TEXTSPLIT(H81,","))</f>
        <v>1</v>
      </c>
      <c r="M81" s="22">
        <f t="shared" si="8"/>
        <v>-1</v>
      </c>
      <c r="N81" s="22">
        <v>41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2</v>
      </c>
      <c r="M82" s="22">
        <f t="shared" si="8"/>
        <v>0</v>
      </c>
      <c r="N82" s="22">
        <v>2</v>
      </c>
      <c r="O82" s="22">
        <f>VLOOKUP(Table1[[#This Row],[course_name]],ΤΕΙ!I:J,2,FALSE)</f>
        <v>0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4</v>
      </c>
      <c r="M83" s="22">
        <f t="shared" si="8"/>
        <v>0</v>
      </c>
      <c r="N83" s="22" t="s">
        <v>513</v>
      </c>
      <c r="O83" s="22">
        <f>VLOOKUP(Table1[[#This Row],[course_name]],ΤΕΙ!I:J,2,FALSE)</f>
        <v>4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2</v>
      </c>
      <c r="M84" s="22">
        <f t="shared" si="8"/>
        <v>0</v>
      </c>
      <c r="N84" s="22">
        <v>2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N85" s="22" t="s">
        <v>513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9</v>
      </c>
      <c r="M86" s="22">
        <f t="shared" si="8"/>
        <v>0</v>
      </c>
      <c r="N86" s="22">
        <v>1</v>
      </c>
      <c r="O86" s="22">
        <f>VLOOKUP(Table1[[#This Row],[course_name]],ΤΕΙ!I:J,2,FALSE)</f>
        <v>8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6</v>
      </c>
      <c r="M87" s="22">
        <f t="shared" si="8"/>
        <v>0</v>
      </c>
      <c r="N87" s="22" t="s">
        <v>513</v>
      </c>
      <c r="O87" s="22">
        <f>VLOOKUP(Table1[[#This Row],[course_name]],ΤΕΙ!I:J,2,FALSE)</f>
        <v>6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N88" s="22" t="s">
        <v>513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N89" s="22" t="s">
        <v>513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7"/>
        <v>1</v>
      </c>
      <c r="M90" s="22">
        <f t="shared" si="8"/>
        <v>0</v>
      </c>
      <c r="N90" s="22">
        <v>1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7"/>
        <v>1</v>
      </c>
      <c r="M91" s="22">
        <f t="shared" si="8"/>
        <v>0</v>
      </c>
      <c r="N91" s="22">
        <v>1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N92" s="22" t="s">
        <v>513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N93" s="22" t="s">
        <v>513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5</v>
      </c>
      <c r="M94" s="22">
        <f t="shared" si="8"/>
        <v>0</v>
      </c>
      <c r="N94" s="22">
        <v>5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6</v>
      </c>
      <c r="M95" s="22">
        <f t="shared" si="8"/>
        <v>0</v>
      </c>
      <c r="N95" s="22">
        <v>6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11</v>
      </c>
      <c r="M96" s="22">
        <f t="shared" si="8"/>
        <v>0</v>
      </c>
      <c r="N96" s="22">
        <v>5</v>
      </c>
      <c r="O96" s="22">
        <f>VLOOKUP(Table1[[#This Row],[course_name]],ΤΕΙ!I:J,2,FALSE)</f>
        <v>6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N97" s="22" t="s">
        <v>513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N98" s="22" t="s">
        <v>513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02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1</v>
      </c>
      <c r="M100" s="22">
        <f t="shared" si="9"/>
        <v>0</v>
      </c>
      <c r="N100" s="22">
        <v>1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9"/>
  <sheetViews>
    <sheetView zoomScale="85" zoomScaleNormal="85" workbookViewId="0">
      <pane ySplit="1" topLeftCell="A20" activePane="bottomLeft" state="frozen"/>
      <selection pane="bottomLeft" activeCell="J43" sqref="J43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9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  <c r="R1" cm="1">
        <f t="array" ref="R1:S42">_xlfn.LET(
  _xlpm.k, _xlfn._xlws.FILTER(N2:N79, N2:N79&lt;&gt;""),
  _xlpm.s, _xlfn._xlws.FILTER(P2:P79, N2:N79&lt;&gt;""),
  _xlpm.n, IFERROR(--_xlpm.k, --LEFT(_xlpm.k, LEN(_xlpm.k)-1)),
  _xlfn.GROUPBY(_xlpm.n, _xlpm.s, _xleta.MAX, 0, 0)
)</f>
        <v>101</v>
      </c>
      <c r="S1">
        <v>29</v>
      </c>
    </row>
    <row r="2" spans="1:19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f>VLOOKUP(A2,R:S,2,FALSE)</f>
        <v>29</v>
      </c>
      <c r="N2" s="18" t="s">
        <v>275</v>
      </c>
      <c r="O2" s="18" t="s">
        <v>276</v>
      </c>
      <c r="P2" s="19">
        <v>29</v>
      </c>
      <c r="R2">
        <v>102</v>
      </c>
      <c r="S2">
        <v>7</v>
      </c>
    </row>
    <row r="3" spans="1:19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46184</v>
      </c>
      <c r="F3" s="17">
        <v>0.5</v>
      </c>
      <c r="I3" t="s">
        <v>33</v>
      </c>
      <c r="J3">
        <f t="shared" ref="J3:J45" si="0">VLOOKUP(A3,R:S,2,FALSE)</f>
        <v>7</v>
      </c>
      <c r="N3" s="18" t="s">
        <v>278</v>
      </c>
      <c r="O3" s="18" t="s">
        <v>279</v>
      </c>
      <c r="P3" s="19">
        <v>7</v>
      </c>
      <c r="R3">
        <v>103</v>
      </c>
      <c r="S3">
        <v>4</v>
      </c>
    </row>
    <row r="4" spans="1:19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f t="shared" si="0"/>
        <v>4</v>
      </c>
      <c r="N4" s="18" t="s">
        <v>281</v>
      </c>
      <c r="O4" s="18" t="s">
        <v>282</v>
      </c>
      <c r="P4" s="19">
        <v>7</v>
      </c>
      <c r="R4">
        <v>104</v>
      </c>
      <c r="S4">
        <v>10</v>
      </c>
    </row>
    <row r="5" spans="1:19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f t="shared" si="0"/>
        <v>10</v>
      </c>
      <c r="N5" s="18" t="s">
        <v>284</v>
      </c>
      <c r="O5" s="18" t="s">
        <v>285</v>
      </c>
      <c r="P5" s="19">
        <v>4</v>
      </c>
      <c r="R5">
        <v>105</v>
      </c>
      <c r="S5">
        <v>14</v>
      </c>
    </row>
    <row r="6" spans="1:19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f t="shared" si="0"/>
        <v>14</v>
      </c>
      <c r="N6" s="18" t="s">
        <v>287</v>
      </c>
      <c r="O6" s="18" t="s">
        <v>288</v>
      </c>
      <c r="P6" s="19">
        <v>7</v>
      </c>
      <c r="R6">
        <v>106</v>
      </c>
      <c r="S6">
        <v>11</v>
      </c>
    </row>
    <row r="7" spans="1:19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f t="shared" si="0"/>
        <v>11</v>
      </c>
      <c r="N7" s="18" t="s">
        <v>290</v>
      </c>
      <c r="O7" s="18" t="s">
        <v>291</v>
      </c>
      <c r="P7" s="19">
        <v>10</v>
      </c>
      <c r="R7">
        <v>201</v>
      </c>
      <c r="S7">
        <v>28</v>
      </c>
    </row>
    <row r="8" spans="1:19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f t="shared" si="0"/>
        <v>28</v>
      </c>
      <c r="N8" s="18" t="s">
        <v>293</v>
      </c>
      <c r="O8" s="18" t="s">
        <v>294</v>
      </c>
      <c r="P8" s="19">
        <v>7</v>
      </c>
      <c r="R8">
        <v>202</v>
      </c>
      <c r="S8">
        <v>16</v>
      </c>
    </row>
    <row r="9" spans="1:19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 s="13">
        <v>11</v>
      </c>
      <c r="N9" s="18" t="s">
        <v>297</v>
      </c>
      <c r="O9" s="18" t="s">
        <v>298</v>
      </c>
      <c r="P9" s="19">
        <v>14</v>
      </c>
      <c r="R9">
        <v>203</v>
      </c>
      <c r="S9">
        <v>9</v>
      </c>
    </row>
    <row r="10" spans="1:19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 s="13">
        <v>16</v>
      </c>
      <c r="N10" s="18" t="s">
        <v>301</v>
      </c>
      <c r="O10" s="18" t="s">
        <v>302</v>
      </c>
      <c r="P10" s="19">
        <v>2</v>
      </c>
      <c r="R10">
        <v>204</v>
      </c>
      <c r="S10">
        <v>12</v>
      </c>
    </row>
    <row r="11" spans="1:19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f t="shared" si="0"/>
        <v>9</v>
      </c>
      <c r="N11" s="18" t="s">
        <v>304</v>
      </c>
      <c r="O11" s="18" t="s">
        <v>305</v>
      </c>
      <c r="P11" s="19">
        <v>11</v>
      </c>
      <c r="R11">
        <v>205</v>
      </c>
      <c r="S11">
        <v>6</v>
      </c>
    </row>
    <row r="12" spans="1:19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46275</v>
      </c>
      <c r="F12" s="15" t="str">
        <f>VLOOKUP($I12,Table1[[#All],[course_name]:[epitirites]],5,FALSE)</f>
        <v>15:00:00</v>
      </c>
      <c r="I12" t="s">
        <v>117</v>
      </c>
      <c r="J12">
        <f t="shared" si="0"/>
        <v>12</v>
      </c>
      <c r="N12" s="18" t="s">
        <v>306</v>
      </c>
      <c r="O12" s="18" t="s">
        <v>307</v>
      </c>
      <c r="P12" s="19">
        <v>28</v>
      </c>
      <c r="R12">
        <v>206</v>
      </c>
      <c r="S12">
        <v>6</v>
      </c>
    </row>
    <row r="13" spans="1:19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f t="shared" si="0"/>
        <v>6</v>
      </c>
      <c r="N13" s="18" t="s">
        <v>295</v>
      </c>
      <c r="O13" s="18" t="s">
        <v>309</v>
      </c>
      <c r="P13" s="19">
        <v>11</v>
      </c>
      <c r="R13">
        <v>301</v>
      </c>
      <c r="S13">
        <v>14</v>
      </c>
    </row>
    <row r="14" spans="1:19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f t="shared" si="0"/>
        <v>6</v>
      </c>
      <c r="N14" s="18" t="s">
        <v>299</v>
      </c>
      <c r="O14" s="18" t="s">
        <v>311</v>
      </c>
      <c r="P14" s="19">
        <v>16</v>
      </c>
      <c r="R14">
        <v>302</v>
      </c>
      <c r="S14">
        <v>15</v>
      </c>
    </row>
    <row r="15" spans="1:19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f t="shared" si="0"/>
        <v>14</v>
      </c>
      <c r="N15" s="18" t="s">
        <v>312</v>
      </c>
      <c r="O15" s="18" t="s">
        <v>313</v>
      </c>
      <c r="P15" s="19">
        <v>7</v>
      </c>
      <c r="R15">
        <v>303</v>
      </c>
      <c r="S15">
        <v>6</v>
      </c>
    </row>
    <row r="16" spans="1:19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46267</v>
      </c>
      <c r="F16" s="15" t="str">
        <f>VLOOKUP($I16,Table1[[#All],[course_name]:[epitirites]],5,FALSE)</f>
        <v>15:00:00</v>
      </c>
      <c r="I16" t="s">
        <v>124</v>
      </c>
      <c r="J16">
        <f t="shared" si="0"/>
        <v>15</v>
      </c>
      <c r="N16" s="18" t="s">
        <v>315</v>
      </c>
      <c r="O16" s="18" t="s">
        <v>316</v>
      </c>
      <c r="P16" s="19">
        <v>9</v>
      </c>
      <c r="R16">
        <v>304</v>
      </c>
      <c r="S16">
        <v>5</v>
      </c>
    </row>
    <row r="17" spans="1:19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f t="shared" si="0"/>
        <v>6</v>
      </c>
      <c r="N17" s="18" t="s">
        <v>317</v>
      </c>
      <c r="O17" s="18" t="s">
        <v>318</v>
      </c>
      <c r="P17" s="19">
        <v>10</v>
      </c>
      <c r="R17">
        <v>305</v>
      </c>
      <c r="S17">
        <v>11</v>
      </c>
    </row>
    <row r="18" spans="1:19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f t="shared" si="0"/>
        <v>5</v>
      </c>
      <c r="N18" s="18" t="s">
        <v>320</v>
      </c>
      <c r="O18" s="18" t="s">
        <v>321</v>
      </c>
      <c r="P18" s="19">
        <v>12</v>
      </c>
      <c r="R18">
        <v>401</v>
      </c>
      <c r="S18">
        <v>21</v>
      </c>
    </row>
    <row r="19" spans="1:19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46185</v>
      </c>
      <c r="F19" s="17">
        <v>0.625</v>
      </c>
      <c r="J19">
        <f t="shared" si="0"/>
        <v>11</v>
      </c>
      <c r="N19" s="18" t="s">
        <v>323</v>
      </c>
      <c r="O19" s="18" t="s">
        <v>324</v>
      </c>
      <c r="P19" s="19">
        <v>6</v>
      </c>
      <c r="R19">
        <v>402</v>
      </c>
      <c r="S19">
        <v>10</v>
      </c>
    </row>
    <row r="20" spans="1:19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f t="shared" si="0"/>
        <v>21</v>
      </c>
      <c r="N20" s="18" t="s">
        <v>326</v>
      </c>
      <c r="O20" s="18" t="s">
        <v>327</v>
      </c>
      <c r="P20" s="19">
        <v>2</v>
      </c>
      <c r="R20">
        <v>403</v>
      </c>
      <c r="S20">
        <v>9</v>
      </c>
    </row>
    <row r="21" spans="1:19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f t="shared" si="0"/>
        <v>10</v>
      </c>
      <c r="N21" s="18" t="s">
        <v>329</v>
      </c>
      <c r="O21" s="18" t="s">
        <v>330</v>
      </c>
      <c r="P21" s="19">
        <v>6</v>
      </c>
      <c r="R21">
        <v>404</v>
      </c>
      <c r="S21">
        <v>6</v>
      </c>
    </row>
    <row r="22" spans="1:19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f t="shared" si="0"/>
        <v>9</v>
      </c>
      <c r="N22" s="18" t="s">
        <v>332</v>
      </c>
      <c r="O22" s="18" t="s">
        <v>333</v>
      </c>
      <c r="P22" s="19">
        <v>14</v>
      </c>
      <c r="R22">
        <v>405</v>
      </c>
      <c r="S22">
        <v>11</v>
      </c>
    </row>
    <row r="23" spans="1:19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f t="shared" si="0"/>
        <v>6</v>
      </c>
      <c r="N23" s="18" t="s">
        <v>335</v>
      </c>
      <c r="O23" s="18" t="s">
        <v>336</v>
      </c>
      <c r="P23" s="19">
        <v>12</v>
      </c>
      <c r="R23">
        <v>406</v>
      </c>
      <c r="S23">
        <v>6</v>
      </c>
    </row>
    <row r="24" spans="1:19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46189</v>
      </c>
      <c r="F24" s="17">
        <v>0.625</v>
      </c>
      <c r="J24">
        <f t="shared" si="0"/>
        <v>11</v>
      </c>
      <c r="N24" s="18" t="s">
        <v>338</v>
      </c>
      <c r="O24" s="18" t="s">
        <v>339</v>
      </c>
      <c r="P24" s="19">
        <v>11</v>
      </c>
      <c r="R24">
        <v>501</v>
      </c>
      <c r="S24">
        <v>26</v>
      </c>
    </row>
    <row r="25" spans="1:19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f t="shared" si="0"/>
        <v>6</v>
      </c>
      <c r="N25" s="18" t="s">
        <v>341</v>
      </c>
      <c r="O25" s="18" t="s">
        <v>342</v>
      </c>
      <c r="P25" s="19">
        <v>15</v>
      </c>
      <c r="R25">
        <v>502</v>
      </c>
      <c r="S25">
        <v>8</v>
      </c>
    </row>
    <row r="26" spans="1:19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f t="shared" si="0"/>
        <v>26</v>
      </c>
      <c r="N26" s="18" t="s">
        <v>344</v>
      </c>
      <c r="O26" s="18" t="s">
        <v>345</v>
      </c>
      <c r="P26" s="19">
        <v>6</v>
      </c>
      <c r="R26">
        <v>503</v>
      </c>
      <c r="S26">
        <v>8</v>
      </c>
    </row>
    <row r="27" spans="1:19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f t="shared" si="0"/>
        <v>8</v>
      </c>
      <c r="N27" s="18" t="s">
        <v>347</v>
      </c>
      <c r="O27" s="18" t="s">
        <v>348</v>
      </c>
      <c r="P27" s="19">
        <v>6</v>
      </c>
      <c r="R27">
        <v>504</v>
      </c>
      <c r="S27">
        <v>7</v>
      </c>
    </row>
    <row r="28" spans="1:19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f t="shared" si="0"/>
        <v>8</v>
      </c>
      <c r="N28" s="18" t="s">
        <v>349</v>
      </c>
      <c r="O28" s="18" t="s">
        <v>350</v>
      </c>
      <c r="P28" s="19">
        <v>2</v>
      </c>
      <c r="R28">
        <v>505</v>
      </c>
      <c r="S28">
        <v>6</v>
      </c>
    </row>
    <row r="29" spans="1:19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f t="shared" si="0"/>
        <v>7</v>
      </c>
      <c r="N29" s="18" t="s">
        <v>351</v>
      </c>
      <c r="O29" s="18" t="s">
        <v>352</v>
      </c>
      <c r="P29" s="19">
        <v>5</v>
      </c>
      <c r="R29">
        <v>601</v>
      </c>
      <c r="S29">
        <v>3</v>
      </c>
    </row>
    <row r="30" spans="1:19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f t="shared" si="0"/>
        <v>6</v>
      </c>
      <c r="N30" s="18" t="s">
        <v>354</v>
      </c>
      <c r="O30" s="18" t="s">
        <v>355</v>
      </c>
      <c r="P30" s="19">
        <v>11</v>
      </c>
      <c r="R30">
        <v>602</v>
      </c>
      <c r="S30">
        <v>8</v>
      </c>
    </row>
    <row r="31" spans="1:19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f t="shared" si="0"/>
        <v>3</v>
      </c>
      <c r="N31" s="18" t="s">
        <v>357</v>
      </c>
      <c r="O31" s="18" t="s">
        <v>358</v>
      </c>
      <c r="P31" s="19">
        <v>19</v>
      </c>
      <c r="R31">
        <v>603</v>
      </c>
      <c r="S31">
        <v>5</v>
      </c>
    </row>
    <row r="32" spans="1:19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f t="shared" si="0"/>
        <v>8</v>
      </c>
      <c r="N32" s="18" t="s">
        <v>360</v>
      </c>
      <c r="O32" s="18" t="s">
        <v>361</v>
      </c>
      <c r="P32" s="19">
        <v>21</v>
      </c>
      <c r="R32">
        <v>604</v>
      </c>
      <c r="S32">
        <v>8</v>
      </c>
    </row>
    <row r="33" spans="1:19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f t="shared" si="0"/>
        <v>5</v>
      </c>
      <c r="N33" s="18" t="s">
        <v>363</v>
      </c>
      <c r="O33" s="18" t="s">
        <v>364</v>
      </c>
      <c r="P33" s="19">
        <v>9</v>
      </c>
      <c r="R33">
        <v>605</v>
      </c>
      <c r="S33">
        <v>2</v>
      </c>
    </row>
    <row r="34" spans="1:19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f t="shared" si="0"/>
        <v>8</v>
      </c>
      <c r="N34" s="18" t="s">
        <v>365</v>
      </c>
      <c r="O34" s="18" t="s">
        <v>366</v>
      </c>
      <c r="P34" s="19">
        <v>10</v>
      </c>
      <c r="R34">
        <v>606</v>
      </c>
      <c r="S34">
        <v>6</v>
      </c>
    </row>
    <row r="35" spans="1:19" x14ac:dyDescent="0.25">
      <c r="A35">
        <f>A34+1</f>
        <v>605</v>
      </c>
      <c r="B35" t="s">
        <v>122</v>
      </c>
      <c r="C35" s="22">
        <v>6</v>
      </c>
      <c r="D35" t="e">
        <f>VLOOKUP($I35,Table1[[#All],[course_name]:[epitirites]],3,FALSE)</f>
        <v>#N/A</v>
      </c>
      <c r="E35" s="14" t="e">
        <f>VLOOKUP($I35,Table1[[#All],[course_name]:[epitirites]],4,FALSE)</f>
        <v>#N/A</v>
      </c>
      <c r="F35" s="15" t="e">
        <f>VLOOKUP($I35,Table1[[#All],[course_name]:[epitirites]],5,FALSE)</f>
        <v>#N/A</v>
      </c>
      <c r="I35" t="s">
        <v>177</v>
      </c>
      <c r="J35">
        <f t="shared" si="0"/>
        <v>2</v>
      </c>
      <c r="N35" s="18" t="s">
        <v>367</v>
      </c>
      <c r="O35" s="18" t="s">
        <v>368</v>
      </c>
      <c r="P35" s="19">
        <v>3</v>
      </c>
      <c r="R35">
        <v>701</v>
      </c>
      <c r="S35">
        <v>0</v>
      </c>
    </row>
    <row r="36" spans="1:19" x14ac:dyDescent="0.25">
      <c r="A36">
        <v>606</v>
      </c>
      <c r="B36" t="s">
        <v>369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f t="shared" si="0"/>
        <v>6</v>
      </c>
      <c r="N36" s="18" t="s">
        <v>370</v>
      </c>
      <c r="O36" s="18" t="s">
        <v>371</v>
      </c>
      <c r="P36" s="19">
        <v>9</v>
      </c>
      <c r="R36">
        <v>702</v>
      </c>
      <c r="S36">
        <v>1</v>
      </c>
    </row>
    <row r="37" spans="1:19" x14ac:dyDescent="0.25">
      <c r="A37" t="s">
        <v>372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 s="13">
        <v>3</v>
      </c>
      <c r="N37" s="18" t="s">
        <v>373</v>
      </c>
      <c r="O37" s="18" t="s">
        <v>374</v>
      </c>
      <c r="P37" s="19">
        <v>6</v>
      </c>
      <c r="R37">
        <v>703</v>
      </c>
      <c r="S37">
        <v>6</v>
      </c>
    </row>
    <row r="38" spans="1:19" x14ac:dyDescent="0.25">
      <c r="A38">
        <v>701</v>
      </c>
      <c r="B38" t="s">
        <v>375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f t="shared" si="0"/>
        <v>0</v>
      </c>
      <c r="N38" s="18" t="s">
        <v>376</v>
      </c>
      <c r="O38" s="18" t="s">
        <v>377</v>
      </c>
      <c r="P38" s="19">
        <v>6</v>
      </c>
      <c r="R38">
        <v>704</v>
      </c>
      <c r="S38">
        <v>5</v>
      </c>
    </row>
    <row r="39" spans="1:19" x14ac:dyDescent="0.25">
      <c r="A39">
        <v>702</v>
      </c>
      <c r="B39" t="s">
        <v>378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f t="shared" si="0"/>
        <v>1</v>
      </c>
      <c r="N39" s="18" t="s">
        <v>379</v>
      </c>
      <c r="O39" s="18" t="s">
        <v>380</v>
      </c>
      <c r="P39" s="19">
        <v>4</v>
      </c>
      <c r="R39">
        <v>705</v>
      </c>
      <c r="S39">
        <v>4</v>
      </c>
    </row>
    <row r="40" spans="1:19" x14ac:dyDescent="0.25">
      <c r="A40">
        <v>703</v>
      </c>
      <c r="B40" t="s">
        <v>250</v>
      </c>
      <c r="C40" s="22">
        <v>7</v>
      </c>
      <c r="D40" s="13" t="s">
        <v>80</v>
      </c>
      <c r="E40" s="16">
        <v>46203</v>
      </c>
      <c r="F40" s="17">
        <v>0.625</v>
      </c>
      <c r="I40" t="s">
        <v>250</v>
      </c>
      <c r="J40">
        <f t="shared" si="0"/>
        <v>6</v>
      </c>
      <c r="N40" s="18" t="s">
        <v>381</v>
      </c>
      <c r="O40" s="18" t="s">
        <v>382</v>
      </c>
      <c r="P40" s="19">
        <v>11</v>
      </c>
      <c r="R40">
        <v>706</v>
      </c>
      <c r="S40">
        <v>3</v>
      </c>
    </row>
    <row r="41" spans="1:19" x14ac:dyDescent="0.25">
      <c r="A41">
        <v>704</v>
      </c>
      <c r="B41" t="s">
        <v>383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f t="shared" si="0"/>
        <v>5</v>
      </c>
      <c r="N41" s="18" t="s">
        <v>384</v>
      </c>
      <c r="O41" s="18" t="s">
        <v>385</v>
      </c>
      <c r="P41" s="19">
        <v>4</v>
      </c>
      <c r="R41">
        <v>708</v>
      </c>
      <c r="S41">
        <v>6</v>
      </c>
    </row>
    <row r="42" spans="1:19" x14ac:dyDescent="0.25">
      <c r="A42">
        <v>705</v>
      </c>
      <c r="B42" t="s">
        <v>386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f t="shared" si="0"/>
        <v>4</v>
      </c>
      <c r="N42" s="18" t="s">
        <v>387</v>
      </c>
      <c r="O42" s="18" t="s">
        <v>388</v>
      </c>
      <c r="P42" s="19">
        <v>6</v>
      </c>
      <c r="R42" t="e">
        <v>#VALUE!</v>
      </c>
      <c r="S42">
        <v>2</v>
      </c>
    </row>
    <row r="43" spans="1:19" x14ac:dyDescent="0.25">
      <c r="A43">
        <v>703</v>
      </c>
      <c r="B43" t="s">
        <v>389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f t="shared" si="0"/>
        <v>6</v>
      </c>
      <c r="N43" s="18" t="s">
        <v>390</v>
      </c>
      <c r="O43" s="18" t="s">
        <v>391</v>
      </c>
      <c r="P43" s="19">
        <v>23</v>
      </c>
    </row>
    <row r="44" spans="1:19" x14ac:dyDescent="0.25">
      <c r="A44">
        <v>704</v>
      </c>
      <c r="B44" t="s">
        <v>392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f t="shared" si="0"/>
        <v>5</v>
      </c>
      <c r="N44" s="18" t="s">
        <v>393</v>
      </c>
      <c r="O44" s="18" t="s">
        <v>394</v>
      </c>
      <c r="P44" s="19">
        <v>26</v>
      </c>
    </row>
    <row r="45" spans="1:19" x14ac:dyDescent="0.25">
      <c r="A45">
        <v>705</v>
      </c>
      <c r="B45" t="s">
        <v>395</v>
      </c>
      <c r="C45" s="22">
        <v>7</v>
      </c>
      <c r="D45" s="13" t="s">
        <v>41</v>
      </c>
      <c r="E45" s="16">
        <v>46195</v>
      </c>
      <c r="F45" s="17">
        <v>0.5</v>
      </c>
      <c r="J45">
        <f t="shared" si="0"/>
        <v>4</v>
      </c>
      <c r="N45" s="18" t="s">
        <v>396</v>
      </c>
      <c r="O45" s="18" t="s">
        <v>397</v>
      </c>
      <c r="P45" s="19">
        <v>8</v>
      </c>
    </row>
    <row r="46" spans="1:19" x14ac:dyDescent="0.25">
      <c r="N46" s="18" t="s">
        <v>398</v>
      </c>
      <c r="O46" s="18" t="s">
        <v>399</v>
      </c>
      <c r="P46" s="19">
        <v>7</v>
      </c>
    </row>
    <row r="47" spans="1:19" x14ac:dyDescent="0.25">
      <c r="N47" s="18" t="s">
        <v>400</v>
      </c>
      <c r="O47" s="18" t="s">
        <v>401</v>
      </c>
      <c r="P47" s="19">
        <v>7</v>
      </c>
    </row>
    <row r="48" spans="1:19" x14ac:dyDescent="0.25">
      <c r="N48" s="18" t="s">
        <v>402</v>
      </c>
      <c r="O48" s="18" t="s">
        <v>403</v>
      </c>
      <c r="P48" s="19">
        <v>8</v>
      </c>
    </row>
    <row r="49" spans="14:16" x14ac:dyDescent="0.25">
      <c r="N49" s="18" t="s">
        <v>404</v>
      </c>
      <c r="O49" s="18" t="s">
        <v>405</v>
      </c>
      <c r="P49" s="19">
        <v>6</v>
      </c>
    </row>
    <row r="50" spans="14:16" x14ac:dyDescent="0.25">
      <c r="N50" s="18" t="s">
        <v>406</v>
      </c>
      <c r="O50" s="18" t="s">
        <v>407</v>
      </c>
      <c r="P50" s="19">
        <v>7</v>
      </c>
    </row>
    <row r="51" spans="14:16" x14ac:dyDescent="0.25">
      <c r="N51" s="18" t="s">
        <v>408</v>
      </c>
      <c r="O51" s="18" t="s">
        <v>409</v>
      </c>
      <c r="P51" s="19">
        <v>6</v>
      </c>
    </row>
    <row r="52" spans="14:16" x14ac:dyDescent="0.25">
      <c r="N52" s="18" t="s">
        <v>410</v>
      </c>
      <c r="O52" s="18" t="s">
        <v>411</v>
      </c>
      <c r="P52" s="19">
        <v>3</v>
      </c>
    </row>
    <row r="53" spans="14:16" x14ac:dyDescent="0.25">
      <c r="N53" s="18" t="s">
        <v>412</v>
      </c>
      <c r="O53" s="18" t="s">
        <v>413</v>
      </c>
      <c r="P53" s="19">
        <v>3</v>
      </c>
    </row>
    <row r="54" spans="14:16" x14ac:dyDescent="0.25">
      <c r="N54" s="18" t="s">
        <v>414</v>
      </c>
      <c r="O54" s="18" t="s">
        <v>415</v>
      </c>
      <c r="P54" s="19">
        <v>5</v>
      </c>
    </row>
    <row r="55" spans="14:16" x14ac:dyDescent="0.25">
      <c r="N55" s="18" t="s">
        <v>416</v>
      </c>
      <c r="O55" s="18" t="s">
        <v>417</v>
      </c>
      <c r="P55" s="19">
        <v>8</v>
      </c>
    </row>
    <row r="56" spans="14:16" x14ac:dyDescent="0.25">
      <c r="N56" s="18" t="s">
        <v>418</v>
      </c>
      <c r="O56" s="18" t="s">
        <v>419</v>
      </c>
      <c r="P56" s="19">
        <v>4</v>
      </c>
    </row>
    <row r="57" spans="14:16" x14ac:dyDescent="0.25">
      <c r="N57" s="18" t="s">
        <v>420</v>
      </c>
      <c r="O57" s="18" t="s">
        <v>421</v>
      </c>
      <c r="P57" s="19">
        <v>5</v>
      </c>
    </row>
    <row r="58" spans="14:16" x14ac:dyDescent="0.25">
      <c r="N58" s="18" t="s">
        <v>422</v>
      </c>
      <c r="O58" s="18" t="s">
        <v>423</v>
      </c>
      <c r="P58" s="19">
        <v>7</v>
      </c>
    </row>
    <row r="59" spans="14:16" x14ac:dyDescent="0.25">
      <c r="N59" s="18" t="s">
        <v>424</v>
      </c>
      <c r="O59" s="18" t="s">
        <v>425</v>
      </c>
      <c r="P59" s="19">
        <v>8</v>
      </c>
    </row>
    <row r="60" spans="14:16" x14ac:dyDescent="0.25">
      <c r="N60" s="18" t="s">
        <v>426</v>
      </c>
      <c r="O60" s="18" t="s">
        <v>427</v>
      </c>
      <c r="P60" s="19">
        <v>2</v>
      </c>
    </row>
    <row r="61" spans="14:16" x14ac:dyDescent="0.25">
      <c r="N61" s="18" t="s">
        <v>428</v>
      </c>
      <c r="O61" s="18" t="s">
        <v>429</v>
      </c>
      <c r="P61" s="19">
        <v>2</v>
      </c>
    </row>
    <row r="62" spans="14:16" x14ac:dyDescent="0.25">
      <c r="N62" s="18" t="s">
        <v>430</v>
      </c>
      <c r="O62" s="18" t="s">
        <v>431</v>
      </c>
      <c r="P62" s="19">
        <v>4</v>
      </c>
    </row>
    <row r="63" spans="14:16" x14ac:dyDescent="0.25">
      <c r="N63" s="18" t="s">
        <v>432</v>
      </c>
      <c r="O63" s="18" t="s">
        <v>433</v>
      </c>
      <c r="P63" s="19">
        <v>6</v>
      </c>
    </row>
    <row r="64" spans="14:16" x14ac:dyDescent="0.25">
      <c r="N64" s="18" t="s">
        <v>434</v>
      </c>
      <c r="O64" s="18" t="s">
        <v>435</v>
      </c>
      <c r="P64" s="19">
        <v>0</v>
      </c>
    </row>
    <row r="65" spans="14:16" x14ac:dyDescent="0.25">
      <c r="N65" s="18" t="s">
        <v>436</v>
      </c>
      <c r="O65" s="18" t="s">
        <v>437</v>
      </c>
      <c r="P65" s="19">
        <v>0</v>
      </c>
    </row>
    <row r="66" spans="14:16" x14ac:dyDescent="0.25">
      <c r="N66" s="18" t="s">
        <v>438</v>
      </c>
      <c r="O66" s="18" t="s">
        <v>439</v>
      </c>
      <c r="P66" s="19">
        <v>1</v>
      </c>
    </row>
    <row r="67" spans="14:16" x14ac:dyDescent="0.25">
      <c r="N67" s="18" t="s">
        <v>440</v>
      </c>
      <c r="O67" s="18" t="s">
        <v>441</v>
      </c>
      <c r="P67" s="19">
        <v>1</v>
      </c>
    </row>
    <row r="68" spans="14:16" x14ac:dyDescent="0.25">
      <c r="N68" s="18" t="s">
        <v>442</v>
      </c>
      <c r="O68" s="18" t="s">
        <v>443</v>
      </c>
      <c r="P68" s="19">
        <v>6</v>
      </c>
    </row>
    <row r="69" spans="14:16" x14ac:dyDescent="0.25">
      <c r="N69" s="18" t="s">
        <v>444</v>
      </c>
      <c r="O69" s="18" t="s">
        <v>445</v>
      </c>
      <c r="P69" s="19">
        <v>5</v>
      </c>
    </row>
    <row r="70" spans="14:16" x14ac:dyDescent="0.25">
      <c r="N70" s="18" t="s">
        <v>446</v>
      </c>
      <c r="O70" s="18" t="s">
        <v>447</v>
      </c>
      <c r="P70" s="19">
        <v>0</v>
      </c>
    </row>
    <row r="71" spans="14:16" x14ac:dyDescent="0.25">
      <c r="N71" s="18" t="s">
        <v>448</v>
      </c>
      <c r="O71" s="18" t="s">
        <v>449</v>
      </c>
      <c r="P71" s="19">
        <v>4</v>
      </c>
    </row>
    <row r="72" spans="14:16" x14ac:dyDescent="0.25">
      <c r="N72" s="18" t="s">
        <v>450</v>
      </c>
      <c r="O72" s="18" t="s">
        <v>451</v>
      </c>
      <c r="P72" s="19">
        <v>2</v>
      </c>
    </row>
    <row r="73" spans="14:16" x14ac:dyDescent="0.25">
      <c r="N73" s="18" t="s">
        <v>452</v>
      </c>
      <c r="O73" s="18" t="s">
        <v>453</v>
      </c>
      <c r="P73" s="19">
        <v>2</v>
      </c>
    </row>
    <row r="74" spans="14:16" x14ac:dyDescent="0.25">
      <c r="N74" s="18" t="s">
        <v>454</v>
      </c>
      <c r="O74" s="18" t="s">
        <v>455</v>
      </c>
      <c r="P74" s="19">
        <v>3</v>
      </c>
    </row>
    <row r="75" spans="14:16" x14ac:dyDescent="0.25">
      <c r="N75" s="18" t="s">
        <v>456</v>
      </c>
      <c r="O75" s="18" t="s">
        <v>457</v>
      </c>
      <c r="P75" s="19">
        <v>6</v>
      </c>
    </row>
    <row r="76" spans="14:16" x14ac:dyDescent="0.25">
      <c r="N76" s="18" t="s">
        <v>458</v>
      </c>
      <c r="O76" s="18" t="s">
        <v>459</v>
      </c>
      <c r="P76" s="19">
        <v>2</v>
      </c>
    </row>
    <row r="77" spans="14:16" x14ac:dyDescent="0.25">
      <c r="N77" s="18" t="s">
        <v>460</v>
      </c>
      <c r="O77" s="18" t="s">
        <v>461</v>
      </c>
      <c r="P77" s="19">
        <v>2</v>
      </c>
    </row>
    <row r="78" spans="14:16" x14ac:dyDescent="0.25">
      <c r="N78" s="18" t="s">
        <v>462</v>
      </c>
      <c r="O78" s="18" t="s">
        <v>463</v>
      </c>
      <c r="P78" s="19">
        <v>0</v>
      </c>
    </row>
    <row r="79" spans="14:16" x14ac:dyDescent="0.25">
      <c r="N79" s="18" t="s">
        <v>464</v>
      </c>
      <c r="O79" s="18" t="s">
        <v>465</v>
      </c>
      <c r="P79" s="19">
        <v>0</v>
      </c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466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467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468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469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470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470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topLeftCell="A49" workbookViewId="0">
      <selection activeCell="B43" sqref="B4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471</v>
      </c>
      <c r="B43" s="11">
        <v>7</v>
      </c>
      <c r="C43" s="9" t="s">
        <v>472</v>
      </c>
    </row>
    <row r="44" spans="1:3" x14ac:dyDescent="0.25">
      <c r="A44" s="8" t="s">
        <v>473</v>
      </c>
      <c r="B44" s="8">
        <v>7</v>
      </c>
      <c r="C44" s="10" t="s">
        <v>474</v>
      </c>
    </row>
    <row r="45" spans="1:3" x14ac:dyDescent="0.25">
      <c r="A45" s="10" t="s">
        <v>475</v>
      </c>
      <c r="B45" s="10">
        <v>7</v>
      </c>
      <c r="C45" s="10" t="s">
        <v>476</v>
      </c>
    </row>
    <row r="46" spans="1:3" x14ac:dyDescent="0.25">
      <c r="A46" s="8" t="s">
        <v>477</v>
      </c>
      <c r="B46" s="8">
        <v>7</v>
      </c>
    </row>
    <row r="47" spans="1:3" x14ac:dyDescent="0.25">
      <c r="A47" s="10" t="s">
        <v>478</v>
      </c>
      <c r="B47" s="10">
        <v>7</v>
      </c>
      <c r="C47" s="11" t="s">
        <v>479</v>
      </c>
    </row>
    <row r="48" spans="1:3" x14ac:dyDescent="0.25">
      <c r="A48" s="10" t="s">
        <v>480</v>
      </c>
      <c r="B48" s="11">
        <v>7</v>
      </c>
      <c r="C48" s="10" t="s">
        <v>481</v>
      </c>
    </row>
    <row r="49" spans="1:4" x14ac:dyDescent="0.25">
      <c r="A49" s="8" t="s">
        <v>482</v>
      </c>
      <c r="B49" s="8">
        <v>7</v>
      </c>
    </row>
    <row r="50" spans="1:4" x14ac:dyDescent="0.25">
      <c r="A50" s="11" t="s">
        <v>483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484</v>
      </c>
      <c r="B54" s="9">
        <v>8</v>
      </c>
    </row>
    <row r="55" spans="1:4" x14ac:dyDescent="0.25">
      <c r="A55" s="11" t="s">
        <v>485</v>
      </c>
      <c r="B55" s="11">
        <v>8</v>
      </c>
      <c r="C55" s="11" t="s">
        <v>486</v>
      </c>
      <c r="D55" s="10" t="s">
        <v>487</v>
      </c>
    </row>
    <row r="56" spans="1:4" x14ac:dyDescent="0.25">
      <c r="A56" s="10" t="s">
        <v>488</v>
      </c>
      <c r="B56" s="10">
        <v>8</v>
      </c>
      <c r="C56" s="10" t="s">
        <v>489</v>
      </c>
      <c r="D56" s="10" t="s">
        <v>490</v>
      </c>
    </row>
    <row r="57" spans="1:4" x14ac:dyDescent="0.25">
      <c r="A57" s="10" t="s">
        <v>491</v>
      </c>
      <c r="B57" s="10">
        <v>8</v>
      </c>
      <c r="C57" s="10" t="s">
        <v>492</v>
      </c>
      <c r="D57" s="11" t="s">
        <v>493</v>
      </c>
    </row>
    <row r="58" spans="1:4" x14ac:dyDescent="0.25">
      <c r="A58" s="8" t="s">
        <v>494</v>
      </c>
      <c r="B58" s="8">
        <v>8</v>
      </c>
    </row>
    <row r="59" spans="1:4" x14ac:dyDescent="0.25">
      <c r="A59" s="10" t="s">
        <v>495</v>
      </c>
      <c r="B59" s="10">
        <v>8</v>
      </c>
      <c r="C59" s="10" t="s">
        <v>496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497</v>
      </c>
      <c r="B62" s="10">
        <v>9</v>
      </c>
      <c r="C62" s="11" t="s">
        <v>498</v>
      </c>
    </row>
    <row r="63" spans="1:4" x14ac:dyDescent="0.25">
      <c r="A63" s="8" t="s">
        <v>499</v>
      </c>
      <c r="B63" s="8">
        <v>9</v>
      </c>
      <c r="C63" s="11" t="s">
        <v>500</v>
      </c>
    </row>
    <row r="64" spans="1:4" x14ac:dyDescent="0.25">
      <c r="A64" s="10" t="s">
        <v>501</v>
      </c>
      <c r="B64" s="10">
        <v>9</v>
      </c>
      <c r="C64" s="11" t="s">
        <v>502</v>
      </c>
      <c r="D64" s="10" t="s">
        <v>503</v>
      </c>
    </row>
    <row r="65" spans="1:3" x14ac:dyDescent="0.25">
      <c r="A65" s="8" t="s">
        <v>504</v>
      </c>
      <c r="B65" s="8">
        <v>9</v>
      </c>
      <c r="C65" s="9" t="s">
        <v>505</v>
      </c>
    </row>
    <row r="66" spans="1:3" x14ac:dyDescent="0.25">
      <c r="A66" s="11" t="s">
        <v>506</v>
      </c>
      <c r="B66" s="11">
        <v>9</v>
      </c>
    </row>
    <row r="67" spans="1:3" x14ac:dyDescent="0.25">
      <c r="A67" s="9" t="s">
        <v>507</v>
      </c>
      <c r="B67" s="9">
        <v>9</v>
      </c>
    </row>
    <row r="68" spans="1:3" x14ac:dyDescent="0.25">
      <c r="A68" s="11" t="s">
        <v>508</v>
      </c>
      <c r="B68" s="11">
        <v>9</v>
      </c>
    </row>
    <row r="69" spans="1:3" x14ac:dyDescent="0.25">
      <c r="B69" s="10"/>
    </row>
    <row r="75" spans="1:3" x14ac:dyDescent="0.25">
      <c r="A75" t="s">
        <v>509</v>
      </c>
      <c r="B75">
        <v>17</v>
      </c>
    </row>
    <row r="76" spans="1:3" x14ac:dyDescent="0.25">
      <c r="A76" t="s">
        <v>510</v>
      </c>
      <c r="B76">
        <v>4</v>
      </c>
    </row>
    <row r="77" spans="1:3" x14ac:dyDescent="0.25">
      <c r="A77" t="s">
        <v>511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2026-07-29T18:06:01Z</dcterms:modified>
</cp:coreProperties>
</file>