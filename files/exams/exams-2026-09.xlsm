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594DF13D-E252-4C5F-836F-C444CC1A941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ΤΕΙ!$A$1:$J$45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" l="1"/>
  <c r="D34" i="3"/>
  <c r="D33" i="3"/>
  <c r="D32" i="3"/>
  <c r="J42" i="2" l="1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F34" i="3"/>
  <c r="E34" i="3"/>
  <c r="F33" i="3"/>
  <c r="E33" i="3"/>
  <c r="A33" i="3"/>
  <c r="A34" i="3" s="1"/>
  <c r="A35" i="3" s="1"/>
  <c r="F32" i="3"/>
  <c r="E32" i="3"/>
  <c r="A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A19" i="3"/>
  <c r="F18" i="3"/>
  <c r="E18" i="3"/>
  <c r="D18" i="3"/>
  <c r="A18" i="3"/>
  <c r="F17" i="3"/>
  <c r="E17" i="3"/>
  <c r="D17" i="3"/>
  <c r="A17" i="3"/>
  <c r="F16" i="3"/>
  <c r="E16" i="3"/>
  <c r="D16" i="3"/>
  <c r="A16" i="3"/>
  <c r="F15" i="3"/>
  <c r="E15" i="3"/>
  <c r="D15" i="3"/>
  <c r="F14" i="3"/>
  <c r="E14" i="3"/>
  <c r="D14" i="3"/>
  <c r="A14" i="3"/>
  <c r="F13" i="3"/>
  <c r="E13" i="3"/>
  <c r="D13" i="3"/>
  <c r="A13" i="3"/>
  <c r="F12" i="3"/>
  <c r="E12" i="3"/>
  <c r="D12" i="3"/>
  <c r="A12" i="3"/>
  <c r="F11" i="3"/>
  <c r="E11" i="3"/>
  <c r="D11" i="3"/>
  <c r="F10" i="3"/>
  <c r="E10" i="3"/>
  <c r="D10" i="3"/>
  <c r="F9" i="3"/>
  <c r="E9" i="3"/>
  <c r="F8" i="3"/>
  <c r="E8" i="3"/>
  <c r="D8" i="3"/>
  <c r="F7" i="3"/>
  <c r="E7" i="3"/>
  <c r="D7" i="3"/>
  <c r="F6" i="3"/>
  <c r="E6" i="3"/>
  <c r="D6" i="3"/>
  <c r="F5" i="3"/>
  <c r="E5" i="3"/>
  <c r="D5" i="3"/>
  <c r="A5" i="3"/>
  <c r="A6" i="3" s="1"/>
  <c r="A7" i="3" s="1"/>
  <c r="F4" i="3"/>
  <c r="E4" i="3"/>
  <c r="D4" i="3"/>
  <c r="A4" i="3"/>
  <c r="A3" i="3"/>
  <c r="F2" i="3"/>
  <c r="E2" i="3"/>
  <c r="D2" i="3"/>
  <c r="M102" i="2"/>
  <c r="M101" i="2"/>
  <c r="J101" i="2"/>
  <c r="M100" i="2"/>
  <c r="J100" i="2"/>
  <c r="M99" i="2"/>
  <c r="J99" i="2"/>
  <c r="M98" i="2"/>
  <c r="J98" i="2"/>
  <c r="M97" i="2"/>
  <c r="J97" i="2"/>
  <c r="O96" i="2"/>
  <c r="J96" i="2" s="1"/>
  <c r="M96" i="2"/>
  <c r="M95" i="2"/>
  <c r="J95" i="2"/>
  <c r="M94" i="2"/>
  <c r="J94" i="2"/>
  <c r="M93" i="2"/>
  <c r="J93" i="2"/>
  <c r="M92" i="2"/>
  <c r="J92" i="2"/>
  <c r="M91" i="2"/>
  <c r="J91" i="2"/>
  <c r="M90" i="2"/>
  <c r="J90" i="2"/>
  <c r="M89" i="2"/>
  <c r="J89" i="2"/>
  <c r="M88" i="2"/>
  <c r="J88" i="2"/>
  <c r="O87" i="2"/>
  <c r="J87" i="2" s="1"/>
  <c r="M87" i="2"/>
  <c r="O86" i="2"/>
  <c r="J86" i="2" s="1"/>
  <c r="M86" i="2"/>
  <c r="M85" i="2"/>
  <c r="J85" i="2"/>
  <c r="M84" i="2"/>
  <c r="J84" i="2"/>
  <c r="O83" i="2"/>
  <c r="J83" i="2" s="1"/>
  <c r="M83" i="2"/>
  <c r="O82" i="2"/>
  <c r="J82" i="2" s="1"/>
  <c r="M82" i="2"/>
  <c r="L81" i="2"/>
  <c r="M81" i="2" s="1"/>
  <c r="J81" i="2"/>
  <c r="M80" i="2"/>
  <c r="J80" i="2"/>
  <c r="M79" i="2"/>
  <c r="J79" i="2"/>
  <c r="M78" i="2"/>
  <c r="J78" i="2"/>
  <c r="M77" i="2"/>
  <c r="J77" i="2"/>
  <c r="M76" i="2"/>
  <c r="J76" i="2"/>
  <c r="L75" i="2"/>
  <c r="M75" i="2" s="1"/>
  <c r="J75" i="2"/>
  <c r="L74" i="2"/>
  <c r="M74" i="2" s="1"/>
  <c r="J74" i="2"/>
  <c r="O73" i="2"/>
  <c r="J73" i="2" s="1"/>
  <c r="M73" i="2"/>
  <c r="M72" i="2"/>
  <c r="J72" i="2"/>
  <c r="M71" i="2"/>
  <c r="J71" i="2"/>
  <c r="L70" i="2"/>
  <c r="M70" i="2" s="1"/>
  <c r="J70" i="2"/>
  <c r="M69" i="2"/>
  <c r="J69" i="2"/>
  <c r="M68" i="2"/>
  <c r="J68" i="2"/>
  <c r="O67" i="2"/>
  <c r="J67" i="2" s="1"/>
  <c r="M67" i="2"/>
  <c r="M66" i="2"/>
  <c r="J66" i="2"/>
  <c r="O65" i="2"/>
  <c r="J65" i="2" s="1"/>
  <c r="M65" i="2"/>
  <c r="M64" i="2"/>
  <c r="J64" i="2"/>
  <c r="O63" i="2"/>
  <c r="J63" i="2" s="1"/>
  <c r="M63" i="2"/>
  <c r="O62" i="2"/>
  <c r="J62" i="2" s="1"/>
  <c r="L62" i="2"/>
  <c r="M62" i="2" s="1"/>
  <c r="O61" i="2"/>
  <c r="J61" i="2" s="1"/>
  <c r="L61" i="2"/>
  <c r="M61" i="2" s="1"/>
  <c r="L60" i="2"/>
  <c r="M60" i="2" s="1"/>
  <c r="J60" i="2"/>
  <c r="M59" i="2"/>
  <c r="J59" i="2"/>
  <c r="M58" i="2"/>
  <c r="J58" i="2"/>
  <c r="M57" i="2"/>
  <c r="J57" i="2"/>
  <c r="M56" i="2"/>
  <c r="J56" i="2"/>
  <c r="M55" i="2"/>
  <c r="J55" i="2"/>
  <c r="M54" i="2"/>
  <c r="J54" i="2"/>
  <c r="M53" i="2"/>
  <c r="J53" i="2"/>
  <c r="M52" i="2"/>
  <c r="J52" i="2"/>
  <c r="M51" i="2"/>
  <c r="J51" i="2"/>
  <c r="M50" i="2"/>
  <c r="J50" i="2"/>
  <c r="M49" i="2"/>
  <c r="J49" i="2"/>
  <c r="M48" i="2"/>
  <c r="J48" i="2"/>
  <c r="M47" i="2"/>
  <c r="J47" i="2"/>
  <c r="M46" i="2"/>
  <c r="J46" i="2"/>
  <c r="M45" i="2"/>
  <c r="J45" i="2"/>
  <c r="M44" i="2"/>
  <c r="J44" i="2"/>
  <c r="L43" i="2"/>
  <c r="M43" i="2" s="1"/>
  <c r="J43" i="2"/>
  <c r="M42" i="2"/>
  <c r="O41" i="2"/>
  <c r="J41" i="2" s="1"/>
  <c r="L41" i="2"/>
  <c r="M41" i="2" s="1"/>
  <c r="L40" i="2"/>
  <c r="M40" i="2" s="1"/>
  <c r="J40" i="2"/>
  <c r="O39" i="2"/>
  <c r="J39" i="2" s="1"/>
  <c r="L39" i="2"/>
  <c r="M39" i="2" s="1"/>
  <c r="O38" i="2"/>
  <c r="J38" i="2" s="1"/>
  <c r="L38" i="2"/>
  <c r="M38" i="2" s="1"/>
  <c r="O37" i="2"/>
  <c r="J37" i="2" s="1"/>
  <c r="L37" i="2"/>
  <c r="M37" i="2" s="1"/>
  <c r="O36" i="2"/>
  <c r="J36" i="2" s="1"/>
  <c r="L36" i="2"/>
  <c r="M36" i="2" s="1"/>
  <c r="O35" i="2"/>
  <c r="J35" i="2" s="1"/>
  <c r="L35" i="2"/>
  <c r="M35" i="2" s="1"/>
  <c r="M34" i="2"/>
  <c r="J34" i="2"/>
  <c r="O33" i="2"/>
  <c r="J33" i="2" s="1"/>
  <c r="M33" i="2"/>
  <c r="O32" i="2"/>
  <c r="J32" i="2" s="1"/>
  <c r="L32" i="2"/>
  <c r="M32" i="2" s="1"/>
  <c r="O31" i="2"/>
  <c r="J31" i="2" s="1"/>
  <c r="M31" i="2"/>
  <c r="O30" i="2"/>
  <c r="J30" i="2" s="1"/>
  <c r="M30" i="2"/>
  <c r="O29" i="2"/>
  <c r="J29" i="2" s="1"/>
  <c r="M29" i="2"/>
  <c r="O28" i="2"/>
  <c r="J28" i="2" s="1"/>
  <c r="L28" i="2"/>
  <c r="M28" i="2" s="1"/>
  <c r="O27" i="2"/>
  <c r="J27" i="2" s="1"/>
  <c r="L27" i="2"/>
  <c r="M27" i="2" s="1"/>
  <c r="O26" i="2"/>
  <c r="J26" i="2" s="1"/>
  <c r="L26" i="2"/>
  <c r="M26" i="2" s="1"/>
  <c r="O25" i="2"/>
  <c r="J25" i="2" s="1"/>
  <c r="L25" i="2"/>
  <c r="M25" i="2" s="1"/>
  <c r="L24" i="2"/>
  <c r="M24" i="2" s="1"/>
  <c r="J24" i="2"/>
  <c r="O23" i="2"/>
  <c r="J23" i="2" s="1"/>
  <c r="L23" i="2"/>
  <c r="M23" i="2" s="1"/>
  <c r="M22" i="2"/>
  <c r="J22" i="2"/>
  <c r="M21" i="2"/>
  <c r="J21" i="2"/>
  <c r="L20" i="2"/>
  <c r="M20" i="2" s="1"/>
  <c r="J20" i="2"/>
  <c r="O19" i="2"/>
  <c r="J19" i="2" s="1"/>
  <c r="M19" i="2"/>
  <c r="R18" i="2" a="1"/>
  <c r="R18" i="2" s="1"/>
  <c r="O18" i="2"/>
  <c r="J18" i="2" s="1"/>
  <c r="M18" i="2"/>
  <c r="R17" i="2" a="1"/>
  <c r="R17" i="2" s="1"/>
  <c r="M17" i="2"/>
  <c r="J17" i="2"/>
  <c r="R16" i="2" a="1"/>
  <c r="R16" i="2" s="1"/>
  <c r="O16" i="2"/>
  <c r="J16" i="2" s="1"/>
  <c r="M16" i="2"/>
  <c r="R15" i="2" a="1"/>
  <c r="R15" i="2" s="1"/>
  <c r="L15" i="2"/>
  <c r="M15" i="2" s="1"/>
  <c r="J15" i="2"/>
  <c r="R14" i="2" a="1"/>
  <c r="R14" i="2" s="1"/>
  <c r="O14" i="2"/>
  <c r="J14" i="2" s="1"/>
  <c r="L14" i="2"/>
  <c r="M14" i="2" s="1"/>
  <c r="R13" i="2" a="1"/>
  <c r="R13" i="2" s="1"/>
  <c r="O13" i="2"/>
  <c r="J13" i="2" s="1"/>
  <c r="L13" i="2"/>
  <c r="M13" i="2" s="1"/>
  <c r="R12" i="2" a="1"/>
  <c r="R12" i="2" s="1"/>
  <c r="L12" i="2"/>
  <c r="M12" i="2" s="1"/>
  <c r="J12" i="2"/>
  <c r="R11" i="2" a="1"/>
  <c r="R11" i="2" s="1"/>
  <c r="O11" i="2"/>
  <c r="J11" i="2" s="1"/>
  <c r="L11" i="2"/>
  <c r="M11" i="2" s="1"/>
  <c r="R10" i="2" a="1"/>
  <c r="R10" i="2" s="1"/>
  <c r="L10" i="2"/>
  <c r="M10" i="2" s="1"/>
  <c r="J10" i="2"/>
  <c r="R9" i="2" a="1"/>
  <c r="R9" i="2" s="1"/>
  <c r="O9" i="2"/>
  <c r="J9" i="2" s="1"/>
  <c r="L9" i="2"/>
  <c r="M9" i="2" s="1"/>
  <c r="R8" i="2" a="1"/>
  <c r="R8" i="2" s="1"/>
  <c r="O8" i="2"/>
  <c r="J8" i="2" s="1"/>
  <c r="M8" i="2"/>
  <c r="R7" i="2" a="1"/>
  <c r="R7" i="2" s="1"/>
  <c r="O7" i="2"/>
  <c r="J7" i="2" s="1"/>
  <c r="M7" i="2"/>
  <c r="R6" i="2" a="1"/>
  <c r="R6" i="2" s="1"/>
  <c r="O6" i="2"/>
  <c r="J6" i="2" s="1"/>
  <c r="M6" i="2"/>
  <c r="R5" i="2" a="1"/>
  <c r="R5" i="2" s="1"/>
  <c r="O5" i="2"/>
  <c r="J5" i="2" s="1"/>
  <c r="M5" i="2"/>
  <c r="R4" i="2" a="1"/>
  <c r="R4" i="2" s="1"/>
  <c r="O4" i="2"/>
  <c r="J4" i="2" s="1"/>
  <c r="M4" i="2"/>
  <c r="R3" i="2" a="1"/>
  <c r="R3" i="2" s="1"/>
  <c r="O3" i="2"/>
  <c r="J3" i="2" s="1"/>
  <c r="L3" i="2"/>
  <c r="M3" i="2" s="1"/>
  <c r="R2" i="2" a="1"/>
  <c r="R2" i="2" s="1"/>
  <c r="J2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K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H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sharedStrings.xml><?xml version="1.0" encoding="utf-8"?>
<sst xmlns="http://schemas.openxmlformats.org/spreadsheetml/2006/main" count="1250" uniqueCount="520">
  <si>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</si>
  <si>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</si>
  <si>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</si>
  <si>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</si>
  <si>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</si>
  <si>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</si>
  <si>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</si>
  <si>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</si>
  <si>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</si>
  <si>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</si>
  <si>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</si>
  <si>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</si>
  <si>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</si>
  <si>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</si>
  <si>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</si>
  <si>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</si>
  <si>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</si>
  <si>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</si>
  <si>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</si>
  <si>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</si>
  <si>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</si>
  <si>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</si>
  <si>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</si>
  <si>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</si>
  <si>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</si>
  <si>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</si>
  <si>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</si>
  <si>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</si>
  <si>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</si>
  <si>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</si>
  <si>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</si>
  <si>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</si>
  <si>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</si>
  <si>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</si>
  <si>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</si>
  <si>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</si>
  <si>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</si>
  <si>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</si>
  <si>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</si>
  <si>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</si>
  <si>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</si>
  <si>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</si>
  <si>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</si>
  <si>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</si>
  <si>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</si>
  <si>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</si>
  <si>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</si>
  <si>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</si>
  <si>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</si>
  <si>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</si>
  <si>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</si>
  <si>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</si>
  <si>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</si>
  <si>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</si>
  <si>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</si>
  <si>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</si>
  <si>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</si>
  <si>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</si>
  <si>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</si>
  <si>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</si>
  <si>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</si>
  <si>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</si>
  <si>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</si>
  <si>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</si>
  <si>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</si>
  <si>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</si>
  <si>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</si>
  <si>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</si>
  <si>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</si>
  <si>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</si>
  <si>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</si>
  <si>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</si>
  <si>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</si>
  <si>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</si>
  <si>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</si>
  <si>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</si>
  <si>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</si>
  <si>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</si>
  <si>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</si>
  <si>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</si>
  <si>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</si>
  <si>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</si>
  <si>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</si>
  <si>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</si>
  <si>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</si>
  <si>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</si>
  <si>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</si>
  <si>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</si>
  <si>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</si>
  <si>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</si>
  <si>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</si>
  <si>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</si>
  <si>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</si>
  <si>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</si>
  <si>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</si>
  <si>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</si>
  <si>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</si>
  <si>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</si>
  <si>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</si>
  <si>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</si>
  <si>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</si>
  <si>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</si>
  <si>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</si>
  <si>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</si>
  <si>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</si>
  <si>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</si>
  <si>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</si>
  <si>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</si>
  <si>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</si>
  <si>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</si>
  <si>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</si>
  <si>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</si>
  <si>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</si>
  <si>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</si>
  <si>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</si>
  <si>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</si>
  <si>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</si>
  <si>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</si>
  <si>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</si>
  <si>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</si>
  <si>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</si>
  <si>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</si>
  <si>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</si>
  <si>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</si>
  <si>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</si>
  <si>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</si>
  <si>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</si>
  <si>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</si>
  <si>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</si>
  <si>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</si>
  <si>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</si>
  <si>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</si>
  <si>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</si>
  <si>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</si>
  <si>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</si>
  <si>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</si>
  <si>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</si>
  <si>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</si>
  <si>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</si>
  <si>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</si>
  <si>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</si>
  <si>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</si>
  <si>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</si>
  <si>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</si>
  <si>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</si>
  <si>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</si>
  <si>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</si>
  <si>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</si>
  <si>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</si>
  <si>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</si>
  <si>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</si>
  <si>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</si>
  <si>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</si>
  <si>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</si>
  <si>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</si>
  <si>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</si>
  <si>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</si>
  <si>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</si>
  <si>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</si>
  <si>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</si>
  <si>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</si>
  <si>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</si>
  <si>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</si>
  <si>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</si>
  <si>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</si>
  <si>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</si>
  <si>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</si>
  <si>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</si>
  <si>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</si>
  <si>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</si>
  <si>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</si>
  <si>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</si>
  <si>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</si>
  <si>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</si>
  <si>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</si>
  <si>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</si>
  <si>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</si>
  <si>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</si>
  <si>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</si>
  <si>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</si>
  <si>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</si>
  <si>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</si>
  <si>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</si>
  <si>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</si>
  <si>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</si>
  <si>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</si>
  <si>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</si>
  <si>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</si>
  <si>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</si>
  <si>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</si>
  <si>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</si>
  <si>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</si>
  <si>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</si>
  <si>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</si>
  <si>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</si>
  <si>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</si>
  <si>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</si>
  <si>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</si>
  <si>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</si>
  <si>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</si>
  <si>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</si>
  <si>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</si>
  <si>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</si>
  <si>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</si>
  <si>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</si>
  <si>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</si>
  <si>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</si>
  <si>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</si>
  <si>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</si>
  <si>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</si>
  <si>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</si>
  <si>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</si>
  <si>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</si>
  <si>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</si>
  <si>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</si>
  <si>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</si>
  <si>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</si>
  <si>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</si>
  <si>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</si>
  <si>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</si>
  <si>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</si>
  <si>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</si>
  <si>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</si>
  <si>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</si>
  <si>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</si>
  <si>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</si>
  <si>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</si>
  <si>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</si>
  <si>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</si>
  <si>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</si>
  <si>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</si>
  <si>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</si>
  <si>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</si>
  <si>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</si>
  <si>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</si>
  <si>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</si>
  <si>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</si>
  <si>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</si>
  <si>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</si>
  <si>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</si>
  <si>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</si>
  <si>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</si>
  <si>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</si>
  <si>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</si>
  <si>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</si>
  <si>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</si>
  <si>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</si>
  <si>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</si>
  <si>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</si>
  <si>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</si>
  <si>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</si>
  <si>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</si>
  <si>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</si>
  <si>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</si>
  <si>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</si>
  <si>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</si>
  <si>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</si>
  <si>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</si>
  <si>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</si>
  <si>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</si>
  <si>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</si>
  <si>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</si>
  <si>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</si>
  <si>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</si>
  <si>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</si>
  <si>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</si>
  <si>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</si>
  <si>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</si>
  <si>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</si>
  <si>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</si>
  <si>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</si>
  <si>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</si>
  <si>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</si>
  <si>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</si>
  <si>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</si>
  <si>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</si>
  <si>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</si>
  <si>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</si>
  <si>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</si>
  <si>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</si>
  <si>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</si>
  <si>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</si>
  <si>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</si>
  <si>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</si>
  <si>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</si>
  <si>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</si>
  <si>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</si>
  <si>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</si>
  <si>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</si>
  <si>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</si>
  <si>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</si>
  <si>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</si>
  <si>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</si>
  <si>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</si>
  <si>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</si>
  <si>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</si>
  <si>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</si>
  <si>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</si>
  <si>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</si>
  <si>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</si>
  <si>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</si>
  <si>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</si>
  <si>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</si>
  <si>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</si>
  <si>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</si>
  <si>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</si>
  <si>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</si>
  <si>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</si>
  <si>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</si>
  <si>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</si>
  <si>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</si>
  <si>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</si>
  <si>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</si>
  <si>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</si>
  <si>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</si>
  <si>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</si>
  <si>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</si>
  <si>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</si>
  <si>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</si>
  <si>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</si>
  <si>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</si>
  <si>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</si>
  <si>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</si>
  <si>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</si>
  <si>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</si>
  <si>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</si>
  <si>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</si>
  <si>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</si>
  <si>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</si>
  <si>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</si>
  <si>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</si>
  <si>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</si>
  <si>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</si>
  <si>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</si>
  <si>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</si>
  <si>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</si>
  <si>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</si>
  <si>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</si>
  <si>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</si>
  <si>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</si>
  <si>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</si>
  <si>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</si>
  <si>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</si>
  <si>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</si>
  <si>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</si>
  <si>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</si>
  <si>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</si>
  <si>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</si>
  <si>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</si>
  <si>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</si>
  <si>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</si>
  <si>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</si>
  <si>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</si>
  <si>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</si>
  <si>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</si>
  <si>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</si>
  <si>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</si>
  <si>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</si>
  <si>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</si>
  <si>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</si>
  <si>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</si>
  <si>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</si>
  <si>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</si>
  <si>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</si>
  <si>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</si>
  <si>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</si>
  <si>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</si>
  <si>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</si>
  <si>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</si>
  <si>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ΔΟΜ606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</si>
  <si>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</si>
  <si>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</si>
  <si>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</si>
  <si>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</si>
  <si>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</si>
  <si>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</si>
  <si>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</si>
  <si>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</si>
  <si>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</si>
  <si>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</si>
  <si>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</si>
  <si>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</si>
  <si>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ΔΟΜ703</t>
  </si>
  <si>
    <t>405Θ</t>
  </si>
  <si>
    <t>ΚΑΤΑΣΚΕΥΕΣ ΚΤΙΡΙΩΝ-Θ</t>
  </si>
  <si>
    <t>ΔΟΜ704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</si>
  <si>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</si>
  <si>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</si>
  <si>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</si>
  <si>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ΔΟΜ705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</si>
  <si>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</si>
  <si>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</si>
  <si>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</si>
  <si>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ΥΠ703</t>
  </si>
  <si>
    <t>Τεχνικά Έργα Οδοποιίας</t>
  </si>
  <si>
    <t>501Ε</t>
  </si>
  <si>
    <t>ΔΥΝΑΜΙΚΗ ΤΩΝ ΚΑΤΑΣΚΕΥΩΝ-Ε</t>
  </si>
  <si>
    <t>ΥΠ704</t>
  </si>
  <si>
    <t>Περιβαλλοντική Διαχείριση Έργων</t>
  </si>
  <si>
    <t>501Θ</t>
  </si>
  <si>
    <t>ΔΥΝΑΜΙΚΗ ΤΩΝ ΚΑΤΑΣΚΕΥΩΝ-Θ</t>
  </si>
  <si>
    <t>ΥΠ705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</si>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</sst>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1048576" totalsRowShown="0">
  <autoFilter ref="A1:J1048576" xr:uid="{00000000-0009-0000-0100-000001000000}"/>
  <tableColumns count="10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3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06"/>
  <sheetViews>
    <sheetView zoomScale="85" zoomScaleNormal="85" workbookViewId="0">
      <pane ySplit="1" topLeftCell="A14" activePane="bottomLeft" state="frozen"/>
      <selection pane="bottomLeft" activeCell="B45" sqref="B45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2" t="s">
        <v>9</v>
      </c>
      <c r="K1" s="24">
        <f>SUM(K2:K102)</f>
        <v>60</v>
      </c>
      <c r="N1" s="22" t="s">
        <v>10</v>
      </c>
      <c r="O1" s="22" t="s">
        <v>11</v>
      </c>
      <c r="Y1" s="18" t="s">
        <v>12</v>
      </c>
      <c r="Z1" s="18" t="s">
        <v>13</v>
      </c>
      <c r="AA1" s="19" t="s">
        <v>14</v>
      </c>
    </row>
    <row r="2" spans="1:27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H2" t="s">
        <v>19</v>
      </c>
      <c r="J2" s="22">
        <f t="shared" ref="J2:J33" si="0">SUM(N2:O2)</f>
        <v>8</v>
      </c>
      <c r="N2" s="22">
        <v>8</v>
      </c>
      <c r="Q2" s="25" t="s">
        <v>20</v>
      </c>
      <c r="R2" s="22">
        <f t="array" ref="R2">SUMPRODUCT(--ISNUMBER(SEARCH(Q2,Table1[[#All],[epitirites]])))</f>
        <v>1</v>
      </c>
      <c r="T2" s="25"/>
      <c r="U2" s="25"/>
      <c r="Y2" s="18" t="s">
        <v>21</v>
      </c>
      <c r="Z2" s="18" t="s">
        <v>22</v>
      </c>
      <c r="AA2" s="19">
        <v>5</v>
      </c>
    </row>
    <row r="3" spans="1:27" x14ac:dyDescent="0.25">
      <c r="A3" t="s">
        <v>23</v>
      </c>
      <c r="B3" t="s">
        <v>24</v>
      </c>
      <c r="C3">
        <v>1</v>
      </c>
      <c r="D3" t="s">
        <v>19</v>
      </c>
      <c r="E3" s="28">
        <v>46280</v>
      </c>
      <c r="F3" s="2" t="s">
        <v>18</v>
      </c>
      <c r="J3" s="22">
        <f t="shared" si="0"/>
        <v>46</v>
      </c>
      <c r="K3">
        <v>2</v>
      </c>
      <c r="L3" s="22">
        <f>COUNTA(_xlfn.TEXTSPLIT(H3,","))</f>
        <v>1</v>
      </c>
      <c r="M3" s="22">
        <f t="shared" ref="M3:M34" si="1">K3-L3</f>
        <v>1</v>
      </c>
      <c r="N3" s="22">
        <v>31</v>
      </c>
      <c r="O3" s="22">
        <f>VLOOKUP(Table1[[#This Row],[course_name]],ΤΕΙ!I:J,2,FALSE)</f>
        <v>15</v>
      </c>
      <c r="Q3" s="22" t="s">
        <v>26</v>
      </c>
      <c r="R3" s="22">
        <f t="array" ref="R3">SUMPRODUCT(--ISNUMBER(SEARCH(Q3,Table1[[#All],[epitirites]])))</f>
        <v>1</v>
      </c>
      <c r="T3" s="25"/>
      <c r="U3" s="25"/>
      <c r="Y3" s="18" t="s">
        <v>23</v>
      </c>
      <c r="Z3" s="18" t="s">
        <v>24</v>
      </c>
      <c r="AA3" s="21">
        <v>104</v>
      </c>
    </row>
    <row r="4" spans="1:27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J4" s="22">
        <f t="shared" si="0"/>
        <v>6</v>
      </c>
      <c r="M4" s="22">
        <f t="shared" si="1"/>
        <v>0</v>
      </c>
      <c r="N4" s="22">
        <v>2</v>
      </c>
      <c r="O4" s="22">
        <f>VLOOKUP(Table1[[#This Row],[course_name]],ΤΕΙ!I:J,2,FALSE)</f>
        <v>4</v>
      </c>
      <c r="Q4" s="22" t="s">
        <v>31</v>
      </c>
      <c r="R4" s="22">
        <f t="array" ref="R4">SUMPRODUCT(--ISNUMBER(SEARCH(Q4,Table1[[#All],[epitirites]])))</f>
        <v>0</v>
      </c>
      <c r="T4" s="25"/>
      <c r="U4" s="25"/>
      <c r="Y4" s="18" t="s">
        <v>32</v>
      </c>
      <c r="Z4" s="18" t="s">
        <v>33</v>
      </c>
      <c r="AA4" s="21">
        <v>41</v>
      </c>
    </row>
    <row r="5" spans="1:27" x14ac:dyDescent="0.25">
      <c r="A5" t="s">
        <v>34</v>
      </c>
      <c r="B5" t="s">
        <v>35</v>
      </c>
      <c r="C5">
        <v>1</v>
      </c>
      <c r="D5" t="s">
        <v>17</v>
      </c>
      <c r="E5" s="28">
        <v>46275</v>
      </c>
      <c r="F5" s="2" t="s">
        <v>25</v>
      </c>
      <c r="J5" s="22">
        <f t="shared" si="0"/>
        <v>7</v>
      </c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36</v>
      </c>
      <c r="R5" s="22">
        <f t="array" ref="R5">SUMPRODUCT(--ISNUMBER(SEARCH(Q5,Table1[[#All],[epitirites]])))</f>
        <v>0</v>
      </c>
      <c r="T5" s="25"/>
      <c r="U5" s="25"/>
      <c r="Y5" s="18" t="s">
        <v>37</v>
      </c>
      <c r="Z5" s="18" t="s">
        <v>38</v>
      </c>
      <c r="AA5" s="19">
        <v>9</v>
      </c>
    </row>
    <row r="6" spans="1:27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J6" s="22">
        <f t="shared" si="0"/>
        <v>5</v>
      </c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43</v>
      </c>
      <c r="R6" s="22">
        <f t="array" ref="R6">SUMPRODUCT(--ISNUMBER(SEARCH(Q6,Table1[[#All],[epitirites]])))</f>
        <v>0</v>
      </c>
      <c r="T6" s="25"/>
      <c r="U6" s="25"/>
      <c r="Y6" s="18" t="s">
        <v>44</v>
      </c>
      <c r="Z6" s="18" t="s">
        <v>45</v>
      </c>
      <c r="AA6" s="19">
        <v>12</v>
      </c>
    </row>
    <row r="7" spans="1:27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J7" s="22">
        <f t="shared" si="0"/>
        <v>6</v>
      </c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49</v>
      </c>
      <c r="R7" s="22">
        <f t="array" ref="R7">SUMPRODUCT(--ISNUMBER(SEARCH(Q7,Table1[[#All],[epitirites]])))</f>
        <v>0</v>
      </c>
      <c r="T7" s="25"/>
      <c r="U7" s="25"/>
      <c r="Y7" s="18" t="s">
        <v>50</v>
      </c>
      <c r="Z7" s="18" t="s">
        <v>51</v>
      </c>
      <c r="AA7" s="19">
        <v>32</v>
      </c>
    </row>
    <row r="8" spans="1:27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J8" s="22">
        <f t="shared" si="0"/>
        <v>5</v>
      </c>
      <c r="M8" s="22">
        <f t="shared" si="1"/>
        <v>0</v>
      </c>
      <c r="O8" s="22">
        <f>VLOOKUP(Table1[[#This Row],[course_name]],ΤΕΙ!I:J,2,FALSE)</f>
        <v>5</v>
      </c>
      <c r="Q8" s="22" t="s">
        <v>53</v>
      </c>
      <c r="R8" s="22">
        <f t="array" ref="R8">SUMPRODUCT(--ISNUMBER(SEARCH(Q8,Table1[[#All],[epitirites]])))</f>
        <v>0</v>
      </c>
      <c r="T8" s="25"/>
      <c r="U8" s="25"/>
      <c r="Y8" s="18" t="s">
        <v>27</v>
      </c>
      <c r="Z8" s="18" t="s">
        <v>28</v>
      </c>
      <c r="AA8" s="21">
        <v>49</v>
      </c>
    </row>
    <row r="9" spans="1:27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J9" s="22">
        <f t="shared" si="0"/>
        <v>57</v>
      </c>
      <c r="K9">
        <v>2</v>
      </c>
      <c r="L9" s="22">
        <f t="shared" ref="L9:L15" si="2">COUNTA(_xlfn.TEXTSPLIT(H9,","))</f>
        <v>1</v>
      </c>
      <c r="M9" s="22">
        <f t="shared" si="1"/>
        <v>1</v>
      </c>
      <c r="N9" s="22">
        <v>53</v>
      </c>
      <c r="O9" s="22">
        <f>VLOOKUP(Table1[[#This Row],[course_name]],ΤΕΙ!I:J,2,FALSE)</f>
        <v>4</v>
      </c>
      <c r="Q9" s="22" t="s">
        <v>57</v>
      </c>
      <c r="R9" s="22">
        <f t="array" ref="R9">SUMPRODUCT(--ISNUMBER(SEARCH(Q9,Table1[[#All],[epitirites]])))</f>
        <v>0</v>
      </c>
      <c r="T9" s="25"/>
      <c r="U9" s="25"/>
      <c r="Y9" s="18" t="s">
        <v>58</v>
      </c>
      <c r="Z9" s="18" t="s">
        <v>59</v>
      </c>
      <c r="AA9" s="19">
        <v>22</v>
      </c>
    </row>
    <row r="10" spans="1:27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J10" s="22">
        <f t="shared" si="0"/>
        <v>111</v>
      </c>
      <c r="K10">
        <v>4</v>
      </c>
      <c r="L10" s="22">
        <f t="shared" si="2"/>
        <v>1</v>
      </c>
      <c r="M10" s="22">
        <f t="shared" si="1"/>
        <v>3</v>
      </c>
      <c r="N10" s="22">
        <v>111</v>
      </c>
      <c r="Q10" s="22" t="s">
        <v>62</v>
      </c>
      <c r="R10" s="22">
        <f t="array" ref="R10">SUMPRODUCT(--ISNUMBER(SEARCH(Q10,Table1[[#All],[epitirites]])))</f>
        <v>0</v>
      </c>
      <c r="T10" s="25"/>
      <c r="U10" s="25"/>
      <c r="Y10" s="18" t="s">
        <v>63</v>
      </c>
      <c r="Z10" s="18" t="s">
        <v>64</v>
      </c>
      <c r="AA10" s="19">
        <v>7</v>
      </c>
    </row>
    <row r="11" spans="1:27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J11" s="22">
        <f t="shared" si="0"/>
        <v>135</v>
      </c>
      <c r="K11">
        <v>4</v>
      </c>
      <c r="L11" s="22">
        <f t="shared" si="2"/>
        <v>1</v>
      </c>
      <c r="M11" s="22">
        <f t="shared" si="1"/>
        <v>3</v>
      </c>
      <c r="N11" s="22">
        <v>118</v>
      </c>
      <c r="O11" s="22">
        <f>VLOOKUP(Table1[[#This Row],[course_name]],ΤΕΙ!I:J,2,FALSE)</f>
        <v>17</v>
      </c>
      <c r="Q11" s="22" t="s">
        <v>67</v>
      </c>
      <c r="R11" s="22">
        <f t="array" ref="R11">SUMPRODUCT(--ISNUMBER(SEARCH(Q11,Table1[[#All],[epitirites]])))</f>
        <v>0</v>
      </c>
      <c r="T11" s="25"/>
      <c r="U11" s="25"/>
      <c r="Y11" s="18" t="s">
        <v>15</v>
      </c>
      <c r="Z11" s="18" t="s">
        <v>16</v>
      </c>
      <c r="AA11" s="21">
        <v>66</v>
      </c>
    </row>
    <row r="12" spans="1:27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J12" s="22">
        <f t="shared" si="0"/>
        <v>51</v>
      </c>
      <c r="K12">
        <v>2</v>
      </c>
      <c r="L12" s="22">
        <f t="shared" si="2"/>
        <v>1</v>
      </c>
      <c r="M12" s="22">
        <f t="shared" si="1"/>
        <v>1</v>
      </c>
      <c r="N12" s="22">
        <v>51</v>
      </c>
      <c r="Q12" t="s">
        <v>41</v>
      </c>
      <c r="R12" s="22">
        <f t="array" ref="R12">SUMPRODUCT(--ISNUMBER(SEARCH(Q12,Table1[[#All],[epitirites]])))</f>
        <v>0</v>
      </c>
      <c r="T12" s="25"/>
      <c r="U12" s="25"/>
      <c r="Y12" s="18" t="s">
        <v>70</v>
      </c>
      <c r="Z12" s="18" t="s">
        <v>71</v>
      </c>
      <c r="AA12" s="19">
        <v>67</v>
      </c>
    </row>
    <row r="13" spans="1:27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H13" s="13" t="s">
        <v>74</v>
      </c>
      <c r="J13" s="22">
        <f t="shared" si="0"/>
        <v>40</v>
      </c>
      <c r="K13">
        <v>2</v>
      </c>
      <c r="L13" s="22">
        <f t="shared" si="2"/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17</v>
      </c>
      <c r="R13" s="22">
        <f t="array" ref="R13">SUMPRODUCT(--ISNUMBER(SEARCH(Q13,Table1[[#All],[epitirites]])))</f>
        <v>0</v>
      </c>
      <c r="T13" s="25"/>
      <c r="U13" s="25"/>
      <c r="Y13" s="18" t="s">
        <v>75</v>
      </c>
      <c r="Z13" s="18" t="s">
        <v>76</v>
      </c>
      <c r="AA13" s="19">
        <v>8</v>
      </c>
    </row>
    <row r="14" spans="1:27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30</v>
      </c>
      <c r="J14" s="22">
        <f t="shared" si="0"/>
        <v>45</v>
      </c>
      <c r="K14">
        <v>2</v>
      </c>
      <c r="L14" s="22">
        <f t="shared" si="2"/>
        <v>1</v>
      </c>
      <c r="M14" s="22">
        <f t="shared" si="1"/>
        <v>1</v>
      </c>
      <c r="N14" s="22">
        <v>43</v>
      </c>
      <c r="O14" s="22">
        <f>VLOOKUP(Table1[[#This Row],[course_name]],ΤΕΙ!I:J,2,FALSE)</f>
        <v>2</v>
      </c>
      <c r="Q14" t="s">
        <v>80</v>
      </c>
      <c r="R14" s="22">
        <f t="array" ref="R14">SUMPRODUCT(--ISNUMBER(SEARCH(Q14,Table1[[#All],[epitirites]])))</f>
        <v>0</v>
      </c>
      <c r="T14" s="25"/>
      <c r="U14" s="25"/>
      <c r="Y14" s="18" t="s">
        <v>81</v>
      </c>
      <c r="Z14" s="18" t="s">
        <v>82</v>
      </c>
      <c r="AA14" s="19">
        <v>7</v>
      </c>
    </row>
    <row r="15" spans="1:27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J15" s="22">
        <f t="shared" si="0"/>
        <v>55</v>
      </c>
      <c r="K15">
        <v>2</v>
      </c>
      <c r="L15" s="22">
        <f t="shared" si="2"/>
        <v>1</v>
      </c>
      <c r="M15" s="22">
        <f t="shared" si="1"/>
        <v>1</v>
      </c>
      <c r="N15" s="22">
        <v>55</v>
      </c>
      <c r="Q15" t="s">
        <v>85</v>
      </c>
      <c r="R15" s="27">
        <f t="array" ref="R15">SUMPRODUCT(--ISNUMBER(SEARCH(Q15,Table1[[#All],[epitirites]])))</f>
        <v>0</v>
      </c>
      <c r="T15" s="25"/>
      <c r="U15" s="25"/>
      <c r="Y15" s="18" t="s">
        <v>86</v>
      </c>
      <c r="Z15" s="18" t="s">
        <v>87</v>
      </c>
      <c r="AA15" s="19">
        <v>40</v>
      </c>
    </row>
    <row r="16" spans="1:27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J16" s="22">
        <f t="shared" si="0"/>
        <v>3</v>
      </c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89</v>
      </c>
      <c r="R16" s="22">
        <f t="array" ref="R16">SUMPRODUCT(--ISNUMBER(SEARCH(Q16,Table1[[#All],[epitirites]])))</f>
        <v>0</v>
      </c>
      <c r="T16" s="25"/>
      <c r="U16" s="25"/>
      <c r="Y16" s="18" t="s">
        <v>90</v>
      </c>
      <c r="Z16" s="18" t="s">
        <v>91</v>
      </c>
      <c r="AA16" s="19">
        <v>19</v>
      </c>
    </row>
    <row r="17" spans="1:27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3" t="s">
        <v>42</v>
      </c>
      <c r="J17" s="22">
        <f t="shared" si="0"/>
        <v>6</v>
      </c>
      <c r="M17" s="22">
        <f t="shared" si="1"/>
        <v>0</v>
      </c>
      <c r="N17" s="22">
        <v>6</v>
      </c>
      <c r="Q17" t="s">
        <v>94</v>
      </c>
      <c r="R17" s="22">
        <f t="array" ref="R17">SUMPRODUCT(--ISNUMBER(SEARCH(Q17,Table1[[#All],[epitirites]])))</f>
        <v>0</v>
      </c>
      <c r="T17" s="25"/>
      <c r="U17" s="25"/>
      <c r="Y17" s="18" t="s">
        <v>95</v>
      </c>
      <c r="Z17" s="18" t="s">
        <v>96</v>
      </c>
      <c r="AA17" s="19">
        <v>3</v>
      </c>
    </row>
    <row r="18" spans="1:27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3" t="s">
        <v>25</v>
      </c>
      <c r="J18" s="22">
        <f t="shared" si="0"/>
        <v>5</v>
      </c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100</v>
      </c>
      <c r="R18" s="22">
        <f t="array" ref="R18">SUMPRODUCT(--ISNUMBER(SEARCH(Q18,Table1[[#All],[epitirites]])))</f>
        <v>0</v>
      </c>
      <c r="T18" s="25"/>
      <c r="U18" s="25"/>
      <c r="Y18" s="18" t="s">
        <v>101</v>
      </c>
      <c r="Z18" s="18" t="s">
        <v>102</v>
      </c>
      <c r="AA18" s="19">
        <v>6</v>
      </c>
    </row>
    <row r="19" spans="1:27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J19" s="22">
        <f t="shared" si="0"/>
        <v>6</v>
      </c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106</v>
      </c>
      <c r="Z19" s="18" t="s">
        <v>107</v>
      </c>
      <c r="AA19" s="19">
        <v>3</v>
      </c>
    </row>
    <row r="20" spans="1:27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J20" s="22">
        <f t="shared" si="0"/>
        <v>36</v>
      </c>
      <c r="K20">
        <v>1</v>
      </c>
      <c r="L20" s="22">
        <f>COUNTA(_xlfn.TEXTSPLIT(H20,","))</f>
        <v>1</v>
      </c>
      <c r="M20" s="22">
        <f t="shared" si="1"/>
        <v>0</v>
      </c>
      <c r="N20" s="22">
        <v>36</v>
      </c>
      <c r="T20" s="25"/>
      <c r="U20" s="25"/>
      <c r="Y20" s="18" t="s">
        <v>108</v>
      </c>
      <c r="Z20" s="18" t="s">
        <v>109</v>
      </c>
      <c r="AA20" s="19">
        <v>4</v>
      </c>
    </row>
    <row r="21" spans="1:27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J21" s="22">
        <f t="shared" si="0"/>
        <v>10</v>
      </c>
      <c r="M21" s="22">
        <f t="shared" si="1"/>
        <v>0</v>
      </c>
      <c r="N21" s="22">
        <v>10</v>
      </c>
      <c r="T21" s="25"/>
      <c r="U21" s="25"/>
      <c r="Y21" s="18" t="s">
        <v>112</v>
      </c>
      <c r="Z21" s="18" t="s">
        <v>113</v>
      </c>
      <c r="AA21" s="19">
        <v>4</v>
      </c>
    </row>
    <row r="22" spans="1:27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J22" s="22">
        <f t="shared" si="0"/>
        <v>4</v>
      </c>
      <c r="M22" s="22">
        <f t="shared" si="1"/>
        <v>0</v>
      </c>
      <c r="N22" s="22">
        <v>4</v>
      </c>
      <c r="T22" s="25"/>
      <c r="U22" s="25"/>
      <c r="Y22" s="18" t="s">
        <v>92</v>
      </c>
      <c r="Z22" s="18" t="s">
        <v>93</v>
      </c>
      <c r="AA22" s="19">
        <v>33</v>
      </c>
    </row>
    <row r="23" spans="1:27" x14ac:dyDescent="0.25">
      <c r="A23" s="4" t="s">
        <v>116</v>
      </c>
      <c r="B23" t="s">
        <v>117</v>
      </c>
      <c r="C23">
        <v>4</v>
      </c>
      <c r="D23" t="s">
        <v>53</v>
      </c>
      <c r="E23" s="28">
        <v>46267</v>
      </c>
      <c r="F23" s="2" t="s">
        <v>18</v>
      </c>
      <c r="J23" s="22">
        <f t="shared" si="0"/>
        <v>49</v>
      </c>
      <c r="K23">
        <v>2</v>
      </c>
      <c r="L23" s="22">
        <f t="shared" ref="L23:L28" si="3">COUNTA(_xlfn.TEXTSPLIT(H23,","))</f>
        <v>1</v>
      </c>
      <c r="M23" s="22">
        <f t="shared" si="1"/>
        <v>1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114</v>
      </c>
      <c r="Z23" s="18" t="s">
        <v>115</v>
      </c>
      <c r="AA23" s="19">
        <v>44</v>
      </c>
    </row>
    <row r="24" spans="1:27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J24" s="22">
        <f t="shared" si="0"/>
        <v>73</v>
      </c>
      <c r="K24">
        <v>2</v>
      </c>
      <c r="L24" s="22">
        <f t="shared" si="3"/>
        <v>1</v>
      </c>
      <c r="M24" s="22">
        <f t="shared" si="1"/>
        <v>1</v>
      </c>
      <c r="N24" s="22">
        <v>73</v>
      </c>
      <c r="T24" s="25"/>
      <c r="U24" s="25"/>
      <c r="Y24" s="18" t="s">
        <v>121</v>
      </c>
      <c r="Z24" s="18" t="s">
        <v>122</v>
      </c>
      <c r="AA24" s="19">
        <v>38</v>
      </c>
    </row>
    <row r="25" spans="1:27" x14ac:dyDescent="0.25">
      <c r="A25" s="4" t="s">
        <v>123</v>
      </c>
      <c r="B25" t="s">
        <v>124</v>
      </c>
      <c r="C25">
        <v>4</v>
      </c>
      <c r="D25" t="s">
        <v>57</v>
      </c>
      <c r="E25" s="28">
        <v>46275</v>
      </c>
      <c r="F25" s="2" t="s">
        <v>18</v>
      </c>
      <c r="J25" s="22">
        <f t="shared" ref="J25" si="4">SUM(N25:O25)</f>
        <v>111</v>
      </c>
      <c r="K25">
        <v>3</v>
      </c>
      <c r="L25" s="22">
        <f t="shared" si="3"/>
        <v>1</v>
      </c>
      <c r="M25" s="22">
        <f t="shared" si="1"/>
        <v>2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125</v>
      </c>
      <c r="Z25" s="18" t="s">
        <v>126</v>
      </c>
      <c r="AA25" s="19">
        <v>44</v>
      </c>
    </row>
    <row r="26" spans="1:27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J26" s="22">
        <f t="shared" si="0"/>
        <v>45</v>
      </c>
      <c r="K26">
        <v>2</v>
      </c>
      <c r="L26" s="22">
        <f t="shared" si="3"/>
        <v>1</v>
      </c>
      <c r="M26" s="22">
        <f t="shared" si="1"/>
        <v>1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103</v>
      </c>
      <c r="Z26" s="18" t="s">
        <v>104</v>
      </c>
      <c r="AA26" s="19">
        <v>18</v>
      </c>
    </row>
    <row r="27" spans="1:27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J27" s="22">
        <f t="shared" si="0"/>
        <v>39</v>
      </c>
      <c r="K27">
        <v>1</v>
      </c>
      <c r="L27" s="22">
        <f t="shared" si="3"/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131</v>
      </c>
      <c r="Z27" s="18" t="s">
        <v>132</v>
      </c>
      <c r="AA27" s="19">
        <v>25</v>
      </c>
    </row>
    <row r="28" spans="1:27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J28" s="22">
        <f t="shared" si="0"/>
        <v>70</v>
      </c>
      <c r="K28">
        <v>2</v>
      </c>
      <c r="L28" s="22">
        <f t="shared" si="3"/>
        <v>1</v>
      </c>
      <c r="M28" s="22">
        <f t="shared" si="1"/>
        <v>1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135</v>
      </c>
      <c r="Z28" s="18" t="s">
        <v>136</v>
      </c>
      <c r="AA28" s="19">
        <v>46</v>
      </c>
    </row>
    <row r="29" spans="1:27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J29" s="22">
        <f t="shared" si="0"/>
        <v>29</v>
      </c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139</v>
      </c>
      <c r="Z29" s="18" t="s">
        <v>140</v>
      </c>
      <c r="AA29" s="19">
        <v>33</v>
      </c>
    </row>
    <row r="30" spans="1:27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J30" s="22">
        <f t="shared" si="0"/>
        <v>4</v>
      </c>
      <c r="M30" s="22">
        <f t="shared" si="1"/>
        <v>0</v>
      </c>
      <c r="O30" s="22">
        <f>VLOOKUP(Table1[[#This Row],[course_name]],ΤΕΙ!I:J,2,FALSE)</f>
        <v>4</v>
      </c>
      <c r="T30" s="25"/>
      <c r="U30" s="25"/>
      <c r="Y30" s="18" t="s">
        <v>143</v>
      </c>
      <c r="Z30" s="18" t="s">
        <v>144</v>
      </c>
      <c r="AA30" s="19">
        <v>61</v>
      </c>
    </row>
    <row r="31" spans="1:27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J31" s="22">
        <f t="shared" si="0"/>
        <v>23</v>
      </c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97</v>
      </c>
      <c r="Z31" s="18" t="s">
        <v>98</v>
      </c>
      <c r="AA31" s="19">
        <v>24</v>
      </c>
    </row>
    <row r="32" spans="1:27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J32" s="22">
        <f t="shared" si="0"/>
        <v>59</v>
      </c>
      <c r="K32" s="22">
        <v>2</v>
      </c>
      <c r="L32" s="22">
        <f>COUNTA(_xlfn.TEXTSPLIT(H32,","))</f>
        <v>1</v>
      </c>
      <c r="M32" s="22">
        <f t="shared" si="1"/>
        <v>1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141</v>
      </c>
      <c r="Z32" s="18" t="s">
        <v>142</v>
      </c>
      <c r="AA32" s="19">
        <v>21</v>
      </c>
    </row>
    <row r="33" spans="1:27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145</v>
      </c>
      <c r="Z33" s="18" t="s">
        <v>146</v>
      </c>
      <c r="AA33" s="19">
        <v>65</v>
      </c>
    </row>
    <row r="34" spans="1:27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J34" s="22">
        <f t="shared" ref="J34:J65" si="5">SUM(N34:O34)</f>
        <v>14</v>
      </c>
      <c r="M34" s="22">
        <f t="shared" si="1"/>
        <v>0</v>
      </c>
      <c r="N34" s="22">
        <v>14</v>
      </c>
      <c r="T34" s="25"/>
      <c r="U34" s="25"/>
      <c r="Y34" s="18" t="s">
        <v>147</v>
      </c>
      <c r="Z34" s="18" t="s">
        <v>148</v>
      </c>
      <c r="AA34" s="19">
        <v>55</v>
      </c>
    </row>
    <row r="35" spans="1:27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J35" s="22">
        <f t="shared" si="5"/>
        <v>71</v>
      </c>
      <c r="K35" s="22">
        <v>2</v>
      </c>
      <c r="L35" s="22">
        <f t="shared" ref="L35:L41" si="6">COUNTA(_xlfn.TEXTSPLIT(H35,","))</f>
        <v>1</v>
      </c>
      <c r="M35" s="22">
        <f t="shared" ref="M35:M66" si="7">K35-L35</f>
        <v>1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151</v>
      </c>
      <c r="Z35" s="18" t="s">
        <v>152</v>
      </c>
      <c r="AA35" s="19">
        <v>16</v>
      </c>
    </row>
    <row r="36" spans="1:27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J36" s="22">
        <f t="shared" si="5"/>
        <v>57</v>
      </c>
      <c r="K36" s="22">
        <v>2</v>
      </c>
      <c r="L36" s="22">
        <f t="shared" si="6"/>
        <v>1</v>
      </c>
      <c r="M36" s="22">
        <f t="shared" si="7"/>
        <v>1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155</v>
      </c>
      <c r="Z36" s="18" t="s">
        <v>156</v>
      </c>
      <c r="AA36" s="19">
        <v>16</v>
      </c>
    </row>
    <row r="37" spans="1:27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J37" s="22">
        <f t="shared" si="5"/>
        <v>46</v>
      </c>
      <c r="K37" s="22">
        <v>2</v>
      </c>
      <c r="L37" s="22">
        <f t="shared" si="6"/>
        <v>1</v>
      </c>
      <c r="M37" s="22">
        <f t="shared" si="7"/>
        <v>1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159</v>
      </c>
      <c r="Z37" s="18" t="s">
        <v>160</v>
      </c>
      <c r="AA37" s="19">
        <v>19</v>
      </c>
    </row>
    <row r="38" spans="1:27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J38" s="22">
        <f t="shared" si="5"/>
        <v>91</v>
      </c>
      <c r="K38" s="22">
        <v>3</v>
      </c>
      <c r="L38" s="22">
        <f t="shared" si="6"/>
        <v>1</v>
      </c>
      <c r="M38" s="22">
        <f t="shared" si="7"/>
        <v>2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163</v>
      </c>
      <c r="Z38" s="18" t="s">
        <v>164</v>
      </c>
      <c r="AA38" s="19">
        <v>22</v>
      </c>
    </row>
    <row r="39" spans="1:27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J39" s="22">
        <f t="shared" si="5"/>
        <v>30</v>
      </c>
      <c r="K39" s="22">
        <v>1</v>
      </c>
      <c r="L39" s="22">
        <f t="shared" si="6"/>
        <v>1</v>
      </c>
      <c r="M39" s="22">
        <f t="shared" si="7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168</v>
      </c>
      <c r="Z39" s="18" t="s">
        <v>169</v>
      </c>
      <c r="AA39" s="19">
        <v>18</v>
      </c>
    </row>
    <row r="40" spans="1:27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J40" s="22">
        <f t="shared" si="5"/>
        <v>39</v>
      </c>
      <c r="K40" s="22">
        <v>1</v>
      </c>
      <c r="L40" s="22">
        <f t="shared" si="6"/>
        <v>1</v>
      </c>
      <c r="M40" s="22">
        <f t="shared" si="7"/>
        <v>0</v>
      </c>
      <c r="N40" s="22">
        <v>39</v>
      </c>
      <c r="T40" s="25"/>
      <c r="U40" s="25"/>
      <c r="Y40" s="18" t="s">
        <v>110</v>
      </c>
      <c r="Z40" s="18" t="s">
        <v>111</v>
      </c>
      <c r="AA40" s="19">
        <v>38</v>
      </c>
    </row>
    <row r="41" spans="1:27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J41" s="22">
        <f t="shared" si="5"/>
        <v>40</v>
      </c>
      <c r="K41" s="22">
        <v>2</v>
      </c>
      <c r="L41" s="22">
        <f t="shared" si="6"/>
        <v>1</v>
      </c>
      <c r="M41" s="22">
        <f t="shared" si="7"/>
        <v>1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175</v>
      </c>
      <c r="Z41" s="18" t="s">
        <v>176</v>
      </c>
      <c r="AA41" s="19">
        <v>20</v>
      </c>
    </row>
    <row r="42" spans="1:27" x14ac:dyDescent="0.25">
      <c r="A42" s="4" t="s">
        <v>121</v>
      </c>
      <c r="B42" t="s">
        <v>519</v>
      </c>
      <c r="C42">
        <v>7</v>
      </c>
      <c r="D42" t="s">
        <v>57</v>
      </c>
      <c r="E42" s="28">
        <v>46268</v>
      </c>
      <c r="F42" s="3" t="s">
        <v>42</v>
      </c>
      <c r="J42" s="22">
        <f t="shared" si="5"/>
        <v>24</v>
      </c>
      <c r="M42" s="22">
        <f t="shared" si="7"/>
        <v>0</v>
      </c>
      <c r="N42" s="22">
        <v>24</v>
      </c>
      <c r="T42" s="25"/>
      <c r="U42" s="25"/>
      <c r="Y42" s="18" t="s">
        <v>39</v>
      </c>
      <c r="Z42" s="18" t="s">
        <v>40</v>
      </c>
      <c r="AA42" s="21">
        <v>39</v>
      </c>
    </row>
    <row r="43" spans="1:27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J43" s="22">
        <f t="shared" si="5"/>
        <v>31</v>
      </c>
      <c r="K43" s="22">
        <v>1</v>
      </c>
      <c r="L43" s="22">
        <f>COUNTA(_xlfn.TEXTSPLIT(H43,","))</f>
        <v>1</v>
      </c>
      <c r="M43" s="22">
        <f t="shared" si="7"/>
        <v>0</v>
      </c>
      <c r="N43" s="22">
        <v>31</v>
      </c>
      <c r="T43" s="25"/>
      <c r="U43" s="25"/>
      <c r="Y43" s="18" t="s">
        <v>46</v>
      </c>
      <c r="Z43" s="18" t="s">
        <v>47</v>
      </c>
      <c r="AA43" s="21">
        <v>53</v>
      </c>
    </row>
    <row r="44" spans="1:27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J44" s="22">
        <f t="shared" si="5"/>
        <v>2</v>
      </c>
      <c r="M44" s="22">
        <f t="shared" si="7"/>
        <v>0</v>
      </c>
      <c r="N44" s="22">
        <v>2</v>
      </c>
      <c r="T44" s="25"/>
      <c r="U44" s="25"/>
      <c r="Y44" s="18" t="s">
        <v>179</v>
      </c>
      <c r="Z44" s="18" t="s">
        <v>180</v>
      </c>
      <c r="AA44" s="19">
        <v>18</v>
      </c>
    </row>
    <row r="45" spans="1:27" x14ac:dyDescent="0.25">
      <c r="A45" s="5" t="s">
        <v>81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J45" s="22">
        <f t="shared" si="5"/>
        <v>2</v>
      </c>
      <c r="M45" s="22">
        <f t="shared" si="7"/>
        <v>0</v>
      </c>
      <c r="N45" s="22">
        <v>2</v>
      </c>
      <c r="T45" s="25"/>
      <c r="U45" s="25"/>
      <c r="Y45" s="18" t="s">
        <v>137</v>
      </c>
      <c r="Z45" s="18" t="s">
        <v>138</v>
      </c>
      <c r="AA45" s="19">
        <v>53</v>
      </c>
    </row>
    <row r="46" spans="1:27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J46" s="22">
        <f t="shared" si="5"/>
        <v>4</v>
      </c>
      <c r="M46" s="22">
        <f t="shared" si="7"/>
        <v>0</v>
      </c>
      <c r="N46" s="22">
        <v>4</v>
      </c>
      <c r="T46" s="25"/>
      <c r="U46" s="25"/>
      <c r="Y46" s="18" t="s">
        <v>181</v>
      </c>
      <c r="Z46" s="18" t="s">
        <v>182</v>
      </c>
      <c r="AA46" s="19">
        <v>10</v>
      </c>
    </row>
    <row r="47" spans="1:27" x14ac:dyDescent="0.25">
      <c r="A47" s="5" t="s">
        <v>183</v>
      </c>
      <c r="B47" t="s">
        <v>184</v>
      </c>
      <c r="C47">
        <v>7</v>
      </c>
      <c r="J47" s="22">
        <f t="shared" si="5"/>
        <v>0</v>
      </c>
      <c r="M47" s="22">
        <f t="shared" si="7"/>
        <v>0</v>
      </c>
      <c r="T47" s="25"/>
      <c r="U47" s="25"/>
      <c r="Y47" s="18" t="s">
        <v>185</v>
      </c>
      <c r="Z47" s="18" t="s">
        <v>186</v>
      </c>
      <c r="AA47" s="19">
        <v>5</v>
      </c>
    </row>
    <row r="48" spans="1:27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2" t="s">
        <v>18</v>
      </c>
      <c r="J48" s="22">
        <f t="shared" si="5"/>
        <v>6</v>
      </c>
      <c r="M48" s="22">
        <f t="shared" si="7"/>
        <v>0</v>
      </c>
      <c r="N48" s="22">
        <v>6</v>
      </c>
      <c r="T48" s="25"/>
      <c r="U48" s="25"/>
      <c r="Y48" s="18" t="s">
        <v>188</v>
      </c>
      <c r="Z48" s="18" t="s">
        <v>189</v>
      </c>
      <c r="AA48" s="19">
        <v>3</v>
      </c>
    </row>
    <row r="49" spans="1:27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J49" s="22">
        <f t="shared" si="5"/>
        <v>1</v>
      </c>
      <c r="M49" s="22">
        <f t="shared" si="7"/>
        <v>0</v>
      </c>
      <c r="N49" s="22">
        <v>1</v>
      </c>
      <c r="T49" s="25"/>
      <c r="U49" s="25"/>
      <c r="Y49" s="18" t="s">
        <v>34</v>
      </c>
      <c r="Z49" s="18" t="s">
        <v>35</v>
      </c>
      <c r="AA49" s="21">
        <v>51</v>
      </c>
    </row>
    <row r="50" spans="1:27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J50" s="22">
        <f t="shared" si="5"/>
        <v>3</v>
      </c>
      <c r="M50" s="22">
        <f t="shared" si="7"/>
        <v>0</v>
      </c>
      <c r="N50" s="22">
        <v>3</v>
      </c>
      <c r="T50" s="25"/>
      <c r="U50" s="25"/>
      <c r="Y50" s="18" t="s">
        <v>190</v>
      </c>
      <c r="Z50" s="18" t="s">
        <v>191</v>
      </c>
      <c r="AA50" s="19">
        <v>2</v>
      </c>
    </row>
    <row r="51" spans="1:27" x14ac:dyDescent="0.25">
      <c r="A51" s="5" t="s">
        <v>192</v>
      </c>
      <c r="B51" t="s">
        <v>193</v>
      </c>
      <c r="C51">
        <v>7</v>
      </c>
      <c r="J51" s="22">
        <f t="shared" si="5"/>
        <v>0</v>
      </c>
      <c r="M51" s="22">
        <f t="shared" si="7"/>
        <v>0</v>
      </c>
      <c r="T51" s="25"/>
      <c r="U51" s="25"/>
      <c r="Y51" s="18" t="s">
        <v>194</v>
      </c>
      <c r="Z51" s="18" t="s">
        <v>195</v>
      </c>
      <c r="AA51" s="19">
        <v>8</v>
      </c>
    </row>
    <row r="52" spans="1:27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J52" s="22">
        <f t="shared" si="5"/>
        <v>3</v>
      </c>
      <c r="M52" s="22">
        <f t="shared" si="7"/>
        <v>0</v>
      </c>
      <c r="N52" s="22">
        <v>3</v>
      </c>
      <c r="T52" s="25"/>
      <c r="U52" s="25"/>
      <c r="Y52" s="18" t="s">
        <v>116</v>
      </c>
      <c r="Z52" s="18" t="s">
        <v>117</v>
      </c>
      <c r="AA52" s="19">
        <v>2</v>
      </c>
    </row>
    <row r="53" spans="1:27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J53" s="22">
        <f t="shared" si="5"/>
        <v>1</v>
      </c>
      <c r="M53" s="22">
        <f t="shared" si="7"/>
        <v>0</v>
      </c>
      <c r="N53" s="22">
        <v>1</v>
      </c>
      <c r="T53" s="25"/>
      <c r="U53" s="25"/>
      <c r="Y53" s="18" t="s">
        <v>65</v>
      </c>
      <c r="Z53" s="18" t="s">
        <v>66</v>
      </c>
      <c r="AA53" s="19">
        <v>11</v>
      </c>
    </row>
    <row r="54" spans="1:27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J54" s="22">
        <f t="shared" si="5"/>
        <v>2</v>
      </c>
      <c r="M54" s="22">
        <f t="shared" si="7"/>
        <v>0</v>
      </c>
      <c r="N54" s="22">
        <v>2</v>
      </c>
      <c r="T54" s="25"/>
      <c r="U54" s="25"/>
      <c r="Y54" s="18" t="s">
        <v>68</v>
      </c>
      <c r="Z54" s="18" t="s">
        <v>69</v>
      </c>
      <c r="AA54" s="19">
        <v>1</v>
      </c>
    </row>
    <row r="55" spans="1:27" x14ac:dyDescent="0.25">
      <c r="A55" s="5" t="s">
        <v>197</v>
      </c>
      <c r="B55" t="s">
        <v>198</v>
      </c>
      <c r="C55">
        <v>7</v>
      </c>
      <c r="J55" s="22">
        <f t="shared" si="5"/>
        <v>0</v>
      </c>
      <c r="M55" s="22">
        <f t="shared" si="7"/>
        <v>0</v>
      </c>
      <c r="T55" s="25"/>
      <c r="U55" s="25"/>
      <c r="Y55" s="18" t="s">
        <v>161</v>
      </c>
      <c r="Z55" s="18" t="s">
        <v>162</v>
      </c>
      <c r="AA55" s="19">
        <v>9</v>
      </c>
    </row>
    <row r="56" spans="1:27" x14ac:dyDescent="0.25">
      <c r="A56" s="5" t="s">
        <v>199</v>
      </c>
      <c r="B56" t="s">
        <v>200</v>
      </c>
      <c r="C56">
        <v>7</v>
      </c>
      <c r="J56" s="22">
        <f t="shared" si="5"/>
        <v>0</v>
      </c>
      <c r="M56" s="22">
        <f t="shared" si="7"/>
        <v>0</v>
      </c>
      <c r="T56" s="25"/>
      <c r="U56" s="25"/>
      <c r="Y56" s="18" t="s">
        <v>127</v>
      </c>
      <c r="Z56" s="18" t="s">
        <v>128</v>
      </c>
      <c r="AA56" s="19">
        <v>1</v>
      </c>
    </row>
    <row r="57" spans="1:27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J57" s="22">
        <f t="shared" si="5"/>
        <v>2</v>
      </c>
      <c r="M57" s="22">
        <f t="shared" si="7"/>
        <v>0</v>
      </c>
      <c r="N57" s="22">
        <v>2</v>
      </c>
      <c r="T57" s="25"/>
      <c r="U57" s="25"/>
      <c r="Y57" s="18" t="s">
        <v>203</v>
      </c>
      <c r="Z57" s="18" t="s">
        <v>204</v>
      </c>
      <c r="AA57" s="19">
        <v>1</v>
      </c>
    </row>
    <row r="58" spans="1:27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J58" s="22">
        <f t="shared" si="5"/>
        <v>1</v>
      </c>
      <c r="M58" s="22">
        <f t="shared" si="7"/>
        <v>0</v>
      </c>
      <c r="N58" s="22">
        <v>1</v>
      </c>
      <c r="T58" s="25"/>
      <c r="U58" s="25"/>
      <c r="Y58" s="18" t="s">
        <v>153</v>
      </c>
      <c r="Z58" s="18" t="s">
        <v>154</v>
      </c>
      <c r="AA58" s="19">
        <v>2</v>
      </c>
    </row>
    <row r="59" spans="1:27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J59" s="22">
        <f t="shared" si="5"/>
        <v>0</v>
      </c>
      <c r="M59" s="22">
        <f t="shared" si="7"/>
        <v>0</v>
      </c>
      <c r="T59" s="25"/>
      <c r="U59" s="25"/>
      <c r="Y59" s="18" t="s">
        <v>149</v>
      </c>
      <c r="Z59" s="18" t="s">
        <v>150</v>
      </c>
      <c r="AA59" s="19">
        <v>8</v>
      </c>
    </row>
    <row r="60" spans="1:27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J60" s="22">
        <f t="shared" si="5"/>
        <v>56</v>
      </c>
      <c r="K60" s="22">
        <v>2</v>
      </c>
      <c r="L60" s="22">
        <f>COUNTA(_xlfn.TEXTSPLIT(H60,","))</f>
        <v>1</v>
      </c>
      <c r="M60" s="22">
        <f t="shared" si="7"/>
        <v>1</v>
      </c>
      <c r="N60" s="22">
        <v>56</v>
      </c>
      <c r="T60" s="25"/>
      <c r="U60" s="25"/>
      <c r="Y60" s="18" t="s">
        <v>118</v>
      </c>
      <c r="Z60" s="18" t="s">
        <v>119</v>
      </c>
      <c r="AA60" s="19">
        <v>1</v>
      </c>
    </row>
    <row r="61" spans="1:27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J61" s="22">
        <f t="shared" si="5"/>
        <v>63</v>
      </c>
      <c r="K61" s="22">
        <v>2</v>
      </c>
      <c r="L61" s="22">
        <f>COUNTA(_xlfn.TEXTSPLIT(H61,","))</f>
        <v>1</v>
      </c>
      <c r="M61" s="22">
        <f t="shared" si="7"/>
        <v>1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157</v>
      </c>
      <c r="Z61" s="18" t="s">
        <v>158</v>
      </c>
      <c r="AA61" s="19">
        <v>2</v>
      </c>
    </row>
    <row r="62" spans="1:27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J62" s="22">
        <f t="shared" si="5"/>
        <v>65</v>
      </c>
      <c r="K62" s="22">
        <v>2</v>
      </c>
      <c r="L62" s="22">
        <f>COUNTA(_xlfn.TEXTSPLIT(H62,","))</f>
        <v>1</v>
      </c>
      <c r="M62" s="22">
        <f t="shared" si="7"/>
        <v>1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133</v>
      </c>
      <c r="Z62" s="18" t="s">
        <v>134</v>
      </c>
      <c r="AA62" s="19">
        <v>4</v>
      </c>
    </row>
    <row r="63" spans="1:27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J63" s="22">
        <f t="shared" si="5"/>
        <v>18</v>
      </c>
      <c r="M63" s="22">
        <f t="shared" si="7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206</v>
      </c>
      <c r="Z63" s="18" t="s">
        <v>207</v>
      </c>
      <c r="AA63" s="19">
        <v>3</v>
      </c>
    </row>
    <row r="64" spans="1:27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J64" s="22">
        <f t="shared" si="5"/>
        <v>9</v>
      </c>
      <c r="M64" s="22">
        <f t="shared" si="7"/>
        <v>0</v>
      </c>
      <c r="N64" s="22">
        <v>9</v>
      </c>
      <c r="T64" s="25"/>
      <c r="U64" s="25"/>
      <c r="Y64" s="18" t="s">
        <v>60</v>
      </c>
      <c r="Z64" s="18" t="s">
        <v>61</v>
      </c>
      <c r="AA64" s="19">
        <v>16</v>
      </c>
    </row>
    <row r="65" spans="1:27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J65" s="22">
        <f t="shared" si="5"/>
        <v>9</v>
      </c>
      <c r="M65" s="22">
        <f t="shared" si="7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77</v>
      </c>
      <c r="Z65" s="18" t="s">
        <v>215</v>
      </c>
      <c r="AA65" s="19">
        <v>1</v>
      </c>
    </row>
    <row r="66" spans="1:27" x14ac:dyDescent="0.25">
      <c r="A66" s="5" t="s">
        <v>216</v>
      </c>
      <c r="B66" t="s">
        <v>217</v>
      </c>
      <c r="C66">
        <v>8</v>
      </c>
      <c r="J66" s="22">
        <f t="shared" ref="J66:J101" si="8">SUM(N66:O66)</f>
        <v>0</v>
      </c>
      <c r="M66" s="22">
        <f t="shared" si="7"/>
        <v>0</v>
      </c>
      <c r="T66" s="25"/>
      <c r="U66" s="25"/>
      <c r="Y66" s="18" t="s">
        <v>209</v>
      </c>
      <c r="Z66" s="18" t="s">
        <v>210</v>
      </c>
      <c r="AA66" s="19">
        <v>1</v>
      </c>
    </row>
    <row r="67" spans="1:27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J67" s="22">
        <f t="shared" si="8"/>
        <v>12</v>
      </c>
      <c r="M67" s="22">
        <f t="shared" ref="M67:M98" si="9">K67-L67</f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123</v>
      </c>
      <c r="Z67" s="18" t="s">
        <v>124</v>
      </c>
      <c r="AA67" s="19">
        <v>20</v>
      </c>
    </row>
    <row r="68" spans="1:27" x14ac:dyDescent="0.25">
      <c r="A68" s="5" t="s">
        <v>220</v>
      </c>
      <c r="B68" t="s">
        <v>221</v>
      </c>
      <c r="C68">
        <v>8</v>
      </c>
      <c r="J68" s="22">
        <f t="shared" si="8"/>
        <v>0</v>
      </c>
      <c r="M68" s="22">
        <f t="shared" si="9"/>
        <v>0</v>
      </c>
      <c r="T68" s="25"/>
      <c r="U68" s="25"/>
      <c r="Y68" s="18" t="s">
        <v>83</v>
      </c>
      <c r="Z68" s="18" t="s">
        <v>84</v>
      </c>
      <c r="AA68" s="19">
        <v>1</v>
      </c>
    </row>
    <row r="69" spans="1:27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J69" s="22">
        <f t="shared" si="8"/>
        <v>8</v>
      </c>
      <c r="M69" s="22">
        <f t="shared" si="9"/>
        <v>0</v>
      </c>
      <c r="N69" s="22">
        <v>8</v>
      </c>
      <c r="T69" s="25"/>
      <c r="U69" s="25"/>
      <c r="Y69" s="18" t="s">
        <v>173</v>
      </c>
      <c r="Z69" s="18" t="s">
        <v>174</v>
      </c>
      <c r="AA69" s="19">
        <v>4</v>
      </c>
    </row>
    <row r="70" spans="1:27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J70" s="22">
        <f t="shared" si="8"/>
        <v>46</v>
      </c>
      <c r="K70" s="22">
        <v>2</v>
      </c>
      <c r="L70" s="22">
        <f>COUNTA(_xlfn.TEXTSPLIT(H70,","))</f>
        <v>1</v>
      </c>
      <c r="M70" s="22">
        <f t="shared" si="9"/>
        <v>1</v>
      </c>
      <c r="N70" s="22">
        <v>46</v>
      </c>
      <c r="T70" s="25"/>
      <c r="U70" s="25"/>
      <c r="Y70" s="18" t="s">
        <v>170</v>
      </c>
      <c r="Z70" s="18" t="s">
        <v>171</v>
      </c>
      <c r="AA70" s="19">
        <v>2</v>
      </c>
    </row>
    <row r="71" spans="1:27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J71" s="22">
        <f t="shared" si="8"/>
        <v>6</v>
      </c>
      <c r="M71" s="22">
        <f t="shared" si="9"/>
        <v>0</v>
      </c>
      <c r="N71" s="22">
        <v>6</v>
      </c>
      <c r="T71" s="25"/>
      <c r="U71" s="25"/>
    </row>
    <row r="72" spans="1:27" x14ac:dyDescent="0.25">
      <c r="A72" s="5" t="s">
        <v>230</v>
      </c>
      <c r="B72" t="s">
        <v>231</v>
      </c>
      <c r="C72">
        <v>8</v>
      </c>
      <c r="J72" s="22">
        <f t="shared" si="8"/>
        <v>0</v>
      </c>
      <c r="M72" s="22">
        <f t="shared" si="9"/>
        <v>0</v>
      </c>
      <c r="T72" s="25"/>
      <c r="U72" s="25"/>
    </row>
    <row r="73" spans="1:27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J73" s="22">
        <f t="shared" si="8"/>
        <v>24</v>
      </c>
      <c r="M73" s="22">
        <f t="shared" si="9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J74" s="22">
        <f t="shared" si="8"/>
        <v>38</v>
      </c>
      <c r="K74" s="22">
        <v>1</v>
      </c>
      <c r="L74" s="22">
        <f>COUNTA(_xlfn.TEXTSPLIT(H74,","))</f>
        <v>1</v>
      </c>
      <c r="M74" s="22">
        <f t="shared" si="9"/>
        <v>0</v>
      </c>
      <c r="N74" s="22">
        <v>38</v>
      </c>
      <c r="T74" s="25"/>
      <c r="U74" s="25"/>
    </row>
    <row r="75" spans="1:27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2" t="s">
        <v>18</v>
      </c>
      <c r="J75" s="22">
        <f t="shared" si="8"/>
        <v>38</v>
      </c>
      <c r="K75" s="22">
        <v>1</v>
      </c>
      <c r="L75" s="22">
        <f>COUNTA(_xlfn.TEXTSPLIT(H75,","))</f>
        <v>1</v>
      </c>
      <c r="M75" s="22">
        <f t="shared" si="9"/>
        <v>0</v>
      </c>
      <c r="N75" s="22">
        <v>38</v>
      </c>
      <c r="T75" s="25"/>
      <c r="U75" s="25"/>
    </row>
    <row r="76" spans="1:27" x14ac:dyDescent="0.25">
      <c r="A76" s="5" t="s">
        <v>236</v>
      </c>
      <c r="B76" t="s">
        <v>237</v>
      </c>
      <c r="C76">
        <v>8</v>
      </c>
      <c r="J76" s="22">
        <f t="shared" si="8"/>
        <v>0</v>
      </c>
      <c r="M76" s="22">
        <f t="shared" si="9"/>
        <v>0</v>
      </c>
      <c r="T76" s="25"/>
      <c r="U76" s="25"/>
    </row>
    <row r="77" spans="1:27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J77" s="22">
        <f t="shared" si="8"/>
        <v>18</v>
      </c>
      <c r="M77" s="22">
        <f t="shared" si="9"/>
        <v>0</v>
      </c>
      <c r="N77" s="22">
        <v>18</v>
      </c>
      <c r="T77" s="25"/>
      <c r="U77" s="25"/>
    </row>
    <row r="78" spans="1:27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J78" s="22">
        <f t="shared" si="8"/>
        <v>20</v>
      </c>
      <c r="M78" s="22">
        <f t="shared" si="9"/>
        <v>0</v>
      </c>
      <c r="N78" s="22">
        <v>20</v>
      </c>
      <c r="T78" s="25"/>
      <c r="U78" s="25"/>
    </row>
    <row r="79" spans="1:27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J79" s="22">
        <f t="shared" si="8"/>
        <v>12</v>
      </c>
      <c r="M79" s="22">
        <f t="shared" si="9"/>
        <v>0</v>
      </c>
      <c r="N79" s="22">
        <v>12</v>
      </c>
      <c r="T79" s="25"/>
      <c r="U79" s="25"/>
    </row>
    <row r="80" spans="1:27" x14ac:dyDescent="0.25">
      <c r="A80" s="5" t="s">
        <v>245</v>
      </c>
      <c r="B80" t="s">
        <v>246</v>
      </c>
      <c r="C80">
        <v>8</v>
      </c>
      <c r="J80" s="22">
        <f t="shared" si="8"/>
        <v>0</v>
      </c>
      <c r="M80" s="22">
        <f t="shared" si="9"/>
        <v>0</v>
      </c>
      <c r="T80" s="25"/>
      <c r="U80" s="25"/>
    </row>
    <row r="81" spans="1:21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J81" s="22">
        <f t="shared" si="8"/>
        <v>31</v>
      </c>
      <c r="K81" s="22">
        <v>1</v>
      </c>
      <c r="L81" s="22">
        <f>COUNTA(_xlfn.TEXTSPLIT(H81,","))</f>
        <v>1</v>
      </c>
      <c r="M81" s="22">
        <f t="shared" si="9"/>
        <v>0</v>
      </c>
      <c r="N81" s="22">
        <v>31</v>
      </c>
      <c r="T81" s="25"/>
      <c r="U81" s="25"/>
    </row>
    <row r="82" spans="1:21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J82" s="22">
        <f t="shared" si="8"/>
        <v>4</v>
      </c>
      <c r="M82" s="22">
        <f t="shared" si="9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J83" s="22">
        <f t="shared" si="8"/>
        <v>6</v>
      </c>
      <c r="M83" s="22">
        <f t="shared" si="9"/>
        <v>0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J84" s="22">
        <f t="shared" si="8"/>
        <v>4</v>
      </c>
      <c r="M84" s="22">
        <f t="shared" si="9"/>
        <v>0</v>
      </c>
      <c r="N84" s="22">
        <v>4</v>
      </c>
      <c r="T84" s="25"/>
      <c r="U84" s="25"/>
    </row>
    <row r="85" spans="1:21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J85" s="22">
        <f t="shared" si="8"/>
        <v>0</v>
      </c>
      <c r="M85" s="22">
        <f t="shared" si="9"/>
        <v>0</v>
      </c>
      <c r="T85" s="25"/>
      <c r="U85" s="25"/>
    </row>
    <row r="86" spans="1:21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J86" s="22">
        <f t="shared" si="8"/>
        <v>6</v>
      </c>
      <c r="M86" s="22">
        <f t="shared" si="9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249</v>
      </c>
      <c r="B87" t="s">
        <v>250</v>
      </c>
      <c r="C87">
        <v>9</v>
      </c>
      <c r="J87" s="22">
        <f t="shared" si="8"/>
        <v>2</v>
      </c>
      <c r="M87" s="22">
        <f t="shared" si="9"/>
        <v>0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251</v>
      </c>
      <c r="B88" t="s">
        <v>252</v>
      </c>
      <c r="C88">
        <v>9</v>
      </c>
      <c r="J88" s="22">
        <f t="shared" si="8"/>
        <v>0</v>
      </c>
      <c r="M88" s="22">
        <f t="shared" si="9"/>
        <v>0</v>
      </c>
      <c r="T88" s="25"/>
      <c r="U88" s="25"/>
    </row>
    <row r="89" spans="1:21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J89" s="22">
        <f t="shared" si="8"/>
        <v>0</v>
      </c>
      <c r="M89" s="22">
        <f t="shared" si="9"/>
        <v>0</v>
      </c>
      <c r="T89" s="25"/>
      <c r="U89" s="25"/>
    </row>
    <row r="90" spans="1:21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2" t="s">
        <v>18</v>
      </c>
      <c r="J90" s="22">
        <f t="shared" si="8"/>
        <v>2</v>
      </c>
      <c r="M90" s="22">
        <f t="shared" si="9"/>
        <v>0</v>
      </c>
      <c r="N90" s="22">
        <v>2</v>
      </c>
      <c r="T90" s="25"/>
      <c r="U90" s="25"/>
    </row>
    <row r="91" spans="1:21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J91" s="22">
        <f t="shared" si="8"/>
        <v>0</v>
      </c>
      <c r="M91" s="22">
        <f t="shared" si="9"/>
        <v>0</v>
      </c>
      <c r="T91" s="25"/>
      <c r="U91" s="25"/>
    </row>
    <row r="92" spans="1:21" x14ac:dyDescent="0.25">
      <c r="A92" s="5" t="s">
        <v>256</v>
      </c>
      <c r="B92" t="s">
        <v>257</v>
      </c>
      <c r="C92">
        <v>9</v>
      </c>
      <c r="J92" s="22">
        <f t="shared" si="8"/>
        <v>0</v>
      </c>
      <c r="M92" s="22">
        <f t="shared" si="9"/>
        <v>0</v>
      </c>
      <c r="T92" s="25"/>
      <c r="U92" s="25"/>
    </row>
    <row r="93" spans="1:21" x14ac:dyDescent="0.25">
      <c r="A93" s="5" t="s">
        <v>258</v>
      </c>
      <c r="B93" t="s">
        <v>259</v>
      </c>
      <c r="C93">
        <v>9</v>
      </c>
      <c r="J93" s="22">
        <f t="shared" si="8"/>
        <v>0</v>
      </c>
      <c r="M93" s="22">
        <f t="shared" si="9"/>
        <v>0</v>
      </c>
      <c r="T93" s="25"/>
      <c r="U93" s="25"/>
    </row>
    <row r="94" spans="1:21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J94" s="22">
        <f t="shared" si="8"/>
        <v>10</v>
      </c>
      <c r="M94" s="22">
        <f t="shared" si="9"/>
        <v>0</v>
      </c>
      <c r="N94" s="22">
        <v>10</v>
      </c>
      <c r="T94" s="25"/>
      <c r="U94" s="25"/>
    </row>
    <row r="95" spans="1:21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J95" s="22">
        <f t="shared" si="8"/>
        <v>7</v>
      </c>
      <c r="M95" s="22">
        <f t="shared" si="9"/>
        <v>0</v>
      </c>
      <c r="N95" s="22">
        <v>7</v>
      </c>
      <c r="T95" s="25"/>
      <c r="U95" s="25"/>
    </row>
    <row r="96" spans="1:21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J96" s="22">
        <f t="shared" si="8"/>
        <v>8</v>
      </c>
      <c r="M96" s="22">
        <f t="shared" si="9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260</v>
      </c>
      <c r="B97" t="s">
        <v>261</v>
      </c>
      <c r="C97">
        <v>9</v>
      </c>
      <c r="J97" s="22">
        <f t="shared" si="8"/>
        <v>0</v>
      </c>
      <c r="M97" s="22">
        <f t="shared" si="9"/>
        <v>0</v>
      </c>
      <c r="T97" s="25"/>
      <c r="U97" s="25"/>
    </row>
    <row r="98" spans="1:21" x14ac:dyDescent="0.25">
      <c r="A98" s="5" t="s">
        <v>262</v>
      </c>
      <c r="B98" t="s">
        <v>263</v>
      </c>
      <c r="C98">
        <v>9</v>
      </c>
      <c r="J98" s="22">
        <f t="shared" si="8"/>
        <v>0</v>
      </c>
      <c r="M98" s="22">
        <f t="shared" si="9"/>
        <v>0</v>
      </c>
      <c r="T98" s="25"/>
      <c r="U98" s="25"/>
    </row>
    <row r="99" spans="1:21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J99" s="22">
        <f t="shared" si="8"/>
        <v>3</v>
      </c>
      <c r="M99" s="22">
        <f t="shared" ref="M99:M102" si="10">K99-L99</f>
        <v>0</v>
      </c>
      <c r="N99" s="22">
        <v>3</v>
      </c>
      <c r="T99" s="25"/>
      <c r="U99" s="25"/>
    </row>
    <row r="100" spans="1:21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J100" s="22">
        <f t="shared" si="8"/>
        <v>0</v>
      </c>
      <c r="M100" s="22">
        <f t="shared" si="10"/>
        <v>0</v>
      </c>
      <c r="T100" s="25"/>
      <c r="U100" s="25"/>
    </row>
    <row r="101" spans="1:21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J101" s="22">
        <f t="shared" si="8"/>
        <v>1</v>
      </c>
      <c r="M101" s="22">
        <f t="shared" si="10"/>
        <v>0</v>
      </c>
      <c r="N101" s="22">
        <v>1</v>
      </c>
      <c r="T101" s="25"/>
      <c r="U101" s="25"/>
    </row>
    <row r="102" spans="1:21" x14ac:dyDescent="0.25">
      <c r="A102" s="5" t="s">
        <v>266</v>
      </c>
      <c r="B102" t="s">
        <v>267</v>
      </c>
      <c r="C102">
        <v>9</v>
      </c>
      <c r="M102" s="22">
        <f t="shared" si="10"/>
        <v>0</v>
      </c>
      <c r="T102" s="25"/>
    </row>
    <row r="105" spans="1:21" x14ac:dyDescent="0.25">
      <c r="F105" s="2"/>
    </row>
    <row r="106" spans="1:21" x14ac:dyDescent="0.25">
      <c r="F106" s="2"/>
    </row>
  </sheetData>
  <dataValidations count="2">
    <dataValidation type="list" allowBlank="1" showInputMessage="1" showErrorMessage="1" sqref="H2:H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79"/>
  <sheetViews>
    <sheetView tabSelected="1" zoomScale="85" zoomScaleNormal="85" workbookViewId="0">
      <pane ySplit="1" topLeftCell="A2" activePane="bottomLeft" state="frozen"/>
      <selection pane="bottomLeft" activeCell="I30" sqref="I30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7.4257812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23" t="s">
        <v>11</v>
      </c>
      <c r="N1" s="18" t="s">
        <v>12</v>
      </c>
      <c r="O1" s="18" t="s">
        <v>13</v>
      </c>
      <c r="P1" s="19" t="s">
        <v>14</v>
      </c>
    </row>
    <row r="2" spans="1:16" x14ac:dyDescent="0.25">
      <c r="A2">
        <v>101</v>
      </c>
      <c r="B2" t="s">
        <v>274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46280</v>
      </c>
      <c r="F2" s="15" t="str">
        <f>VLOOKUP($I2,Table1[[#All],[course_name]:[epitirites]],5,FALSE)</f>
        <v>15:00:00</v>
      </c>
      <c r="I2" t="s">
        <v>24</v>
      </c>
      <c r="J2">
        <v>15</v>
      </c>
      <c r="N2" s="18" t="s">
        <v>275</v>
      </c>
      <c r="O2" s="18" t="s">
        <v>276</v>
      </c>
      <c r="P2" s="19">
        <v>15</v>
      </c>
    </row>
    <row r="3" spans="1:16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46184</v>
      </c>
      <c r="F3" s="17">
        <v>0.5</v>
      </c>
      <c r="I3" t="s">
        <v>33</v>
      </c>
      <c r="J3">
        <v>5</v>
      </c>
      <c r="N3" s="18" t="s">
        <v>278</v>
      </c>
      <c r="O3" s="18" t="s">
        <v>279</v>
      </c>
      <c r="P3" s="19">
        <v>5</v>
      </c>
    </row>
    <row r="4" spans="1:16" x14ac:dyDescent="0.25">
      <c r="A4">
        <f>A3+1</f>
        <v>103</v>
      </c>
      <c r="B4" t="s">
        <v>280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46269</v>
      </c>
      <c r="F4" s="15" t="str">
        <f>VLOOKUP($I4,Table1[[#All],[course_name]:[epitirites]],5,FALSE)</f>
        <v>09:00:00</v>
      </c>
      <c r="I4" t="s">
        <v>40</v>
      </c>
      <c r="J4">
        <v>4</v>
      </c>
      <c r="N4" s="18" t="s">
        <v>281</v>
      </c>
      <c r="O4" s="18" t="s">
        <v>282</v>
      </c>
      <c r="P4" s="19">
        <v>5</v>
      </c>
    </row>
    <row r="5" spans="1:16" x14ac:dyDescent="0.25">
      <c r="A5">
        <f>A4+1</f>
        <v>104</v>
      </c>
      <c r="B5" t="s">
        <v>283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46273</v>
      </c>
      <c r="F5" s="15" t="str">
        <f>VLOOKUP($I5,Table1[[#All],[course_name]:[epitirites]],5,FALSE)</f>
        <v>12:00:00</v>
      </c>
      <c r="I5" t="s">
        <v>28</v>
      </c>
      <c r="J5">
        <v>4</v>
      </c>
      <c r="N5" s="18" t="s">
        <v>284</v>
      </c>
      <c r="O5" s="18" t="s">
        <v>285</v>
      </c>
      <c r="P5" s="19">
        <v>4</v>
      </c>
    </row>
    <row r="6" spans="1:16" x14ac:dyDescent="0.25">
      <c r="A6">
        <f>A5+1</f>
        <v>105</v>
      </c>
      <c r="B6" t="s">
        <v>286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46272</v>
      </c>
      <c r="F6" s="15" t="str">
        <f>VLOOKUP($I6,Table1[[#All],[course_name]:[epitirites]],5,FALSE)</f>
        <v>18:00:00</v>
      </c>
      <c r="I6" t="s">
        <v>55</v>
      </c>
      <c r="J6">
        <v>4</v>
      </c>
      <c r="N6" s="18" t="s">
        <v>287</v>
      </c>
      <c r="O6" s="18" t="s">
        <v>288</v>
      </c>
      <c r="P6" s="19">
        <v>2</v>
      </c>
    </row>
    <row r="7" spans="1:16" x14ac:dyDescent="0.25">
      <c r="A7">
        <f>A6+1</f>
        <v>106</v>
      </c>
      <c r="B7" t="s">
        <v>289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46275</v>
      </c>
      <c r="F7" s="15" t="str">
        <f>VLOOKUP($I7,Table1[[#All],[course_name]:[epitirites]],5,FALSE)</f>
        <v>18:00:00</v>
      </c>
      <c r="I7" t="s">
        <v>35</v>
      </c>
      <c r="J7">
        <v>4</v>
      </c>
      <c r="N7" s="18" t="s">
        <v>290</v>
      </c>
      <c r="O7" s="18" t="s">
        <v>291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46282</v>
      </c>
      <c r="F8" s="15" t="str">
        <f>VLOOKUP($I8,Table1[[#All],[course_name]:[epitirites]],5,FALSE)</f>
        <v>15:00:00</v>
      </c>
      <c r="I8" t="s">
        <v>66</v>
      </c>
      <c r="J8">
        <v>17</v>
      </c>
      <c r="N8" s="18" t="s">
        <v>293</v>
      </c>
      <c r="O8" s="18" t="s">
        <v>294</v>
      </c>
      <c r="P8" s="19">
        <v>3</v>
      </c>
    </row>
    <row r="9" spans="1:16" x14ac:dyDescent="0.25">
      <c r="A9" t="s">
        <v>295</v>
      </c>
      <c r="B9" t="s">
        <v>296</v>
      </c>
      <c r="C9" s="22">
        <v>2</v>
      </c>
      <c r="D9" s="13" t="s">
        <v>19</v>
      </c>
      <c r="E9" s="14">
        <f>VLOOKUP($I9,Table1[[#All],[course_name]:[epitirites]],4,FALSE)</f>
        <v>46274</v>
      </c>
      <c r="F9" s="15" t="str">
        <f>VLOOKUP($I9,Table1[[#All],[course_name]:[epitirites]],5,FALSE)</f>
        <v>12:00:00</v>
      </c>
      <c r="I9" t="s">
        <v>78</v>
      </c>
      <c r="J9">
        <v>2</v>
      </c>
      <c r="N9" s="18" t="s">
        <v>297</v>
      </c>
      <c r="O9" s="18" t="s">
        <v>298</v>
      </c>
      <c r="P9" s="19">
        <v>4</v>
      </c>
    </row>
    <row r="10" spans="1:16" x14ac:dyDescent="0.25">
      <c r="A10" t="s">
        <v>299</v>
      </c>
      <c r="B10" t="s">
        <v>300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46288</v>
      </c>
      <c r="F10" s="15" t="str">
        <f>VLOOKUP($I10,Table1[[#All],[course_name]:[epitirites]],5,FALSE)</f>
        <v>12:00:00</v>
      </c>
      <c r="I10" t="s">
        <v>130</v>
      </c>
      <c r="J10">
        <v>3</v>
      </c>
      <c r="N10" s="18" t="s">
        <v>301</v>
      </c>
      <c r="O10" s="18" t="s">
        <v>302</v>
      </c>
      <c r="P10" s="19">
        <v>1</v>
      </c>
    </row>
    <row r="11" spans="1:16" x14ac:dyDescent="0.25">
      <c r="A11">
        <v>203</v>
      </c>
      <c r="B11" t="s">
        <v>303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46287</v>
      </c>
      <c r="F11" s="15" t="str">
        <f>VLOOKUP($I11,Table1[[#All],[course_name]:[epitirites]],5,FALSE)</f>
        <v>09:00:00</v>
      </c>
      <c r="I11" t="s">
        <v>59</v>
      </c>
      <c r="J11">
        <v>1</v>
      </c>
      <c r="N11" s="18" t="s">
        <v>304</v>
      </c>
      <c r="O11" s="18" t="s">
        <v>305</v>
      </c>
      <c r="P11" s="19">
        <v>4</v>
      </c>
    </row>
    <row r="12" spans="1:16" x14ac:dyDescent="0.25">
      <c r="A12">
        <f>A11+1</f>
        <v>204</v>
      </c>
      <c r="B12" t="s">
        <v>117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46267</v>
      </c>
      <c r="F12" s="15" t="str">
        <f>VLOOKUP($I12,Table1[[#All],[course_name]:[epitirites]],5,FALSE)</f>
        <v>15:00:00</v>
      </c>
      <c r="I12" t="s">
        <v>117</v>
      </c>
      <c r="J12">
        <v>4</v>
      </c>
      <c r="N12" s="18" t="s">
        <v>306</v>
      </c>
      <c r="O12" s="18" t="s">
        <v>307</v>
      </c>
      <c r="P12" s="19">
        <v>17</v>
      </c>
    </row>
    <row r="13" spans="1:16" x14ac:dyDescent="0.25">
      <c r="A13">
        <f>A12+1</f>
        <v>205</v>
      </c>
      <c r="B13" t="s">
        <v>308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46269</v>
      </c>
      <c r="F13" s="15" t="str">
        <f>VLOOKUP($I13,Table1[[#All],[course_name]:[epitirites]],5,FALSE)</f>
        <v>12:00:00</v>
      </c>
      <c r="I13" t="s">
        <v>73</v>
      </c>
      <c r="J13">
        <v>7</v>
      </c>
      <c r="N13" s="18" t="s">
        <v>295</v>
      </c>
      <c r="O13" s="18" t="s">
        <v>309</v>
      </c>
      <c r="P13" s="19">
        <v>2</v>
      </c>
    </row>
    <row r="14" spans="1:16" x14ac:dyDescent="0.25">
      <c r="A14">
        <f>A13+1</f>
        <v>206</v>
      </c>
      <c r="B14" t="s">
        <v>310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46267</v>
      </c>
      <c r="F14" s="15" t="str">
        <f>VLOOKUP($I14,Table1[[#All],[course_name]:[epitirites]],5,FALSE)</f>
        <v>12:00:00</v>
      </c>
      <c r="I14" t="s">
        <v>47</v>
      </c>
      <c r="J14">
        <v>2</v>
      </c>
      <c r="N14" s="18" t="s">
        <v>299</v>
      </c>
      <c r="O14" s="18" t="s">
        <v>311</v>
      </c>
      <c r="P14" s="19">
        <v>3</v>
      </c>
    </row>
    <row r="15" spans="1:16" x14ac:dyDescent="0.25">
      <c r="A15">
        <v>301</v>
      </c>
      <c r="B15" t="s">
        <v>126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46281</v>
      </c>
      <c r="F15" s="15" t="str">
        <f>VLOOKUP($I15,Table1[[#All],[course_name]:[epitirites]],5,FALSE)</f>
        <v>18:00:00</v>
      </c>
      <c r="I15" t="s">
        <v>126</v>
      </c>
      <c r="J15">
        <v>10</v>
      </c>
      <c r="N15" s="18" t="s">
        <v>312</v>
      </c>
      <c r="O15" s="18" t="s">
        <v>313</v>
      </c>
      <c r="P15" s="19">
        <v>1</v>
      </c>
    </row>
    <row r="16" spans="1:16" x14ac:dyDescent="0.25">
      <c r="A16">
        <f>A15+1</f>
        <v>302</v>
      </c>
      <c r="B16" t="s">
        <v>314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46275</v>
      </c>
      <c r="F16" s="15" t="str">
        <f>VLOOKUP($I16,Table1[[#All],[course_name]:[epitirites]],5,FALSE)</f>
        <v>15:00:00</v>
      </c>
      <c r="I16" t="s">
        <v>124</v>
      </c>
      <c r="J16">
        <v>5</v>
      </c>
      <c r="N16" s="18" t="s">
        <v>315</v>
      </c>
      <c r="O16" s="18" t="s">
        <v>316</v>
      </c>
      <c r="P16" s="19">
        <v>1</v>
      </c>
    </row>
    <row r="17" spans="1:16" x14ac:dyDescent="0.25">
      <c r="A17">
        <f>A16+1</f>
        <v>303</v>
      </c>
      <c r="B17" t="s">
        <v>138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46269</v>
      </c>
      <c r="F17" s="15" t="str">
        <f>VLOOKUP($I17,Table1[[#All],[course_name]:[epitirites]],5,FALSE)</f>
        <v>18:00:00</v>
      </c>
      <c r="I17" t="s">
        <v>138</v>
      </c>
      <c r="J17">
        <v>2</v>
      </c>
      <c r="N17" s="18" t="s">
        <v>317</v>
      </c>
      <c r="O17" s="18" t="s">
        <v>318</v>
      </c>
      <c r="P17" s="19">
        <v>4</v>
      </c>
    </row>
    <row r="18" spans="1:16" x14ac:dyDescent="0.25">
      <c r="A18">
        <f>A17+1</f>
        <v>304</v>
      </c>
      <c r="B18" t="s">
        <v>319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46280</v>
      </c>
      <c r="F18" s="15" t="str">
        <f>VLOOKUP($I18,Table1[[#All],[course_name]:[epitirites]],5,FALSE)</f>
        <v>09:00:00</v>
      </c>
      <c r="I18" t="s">
        <v>104</v>
      </c>
      <c r="J18">
        <v>4</v>
      </c>
      <c r="N18" s="18" t="s">
        <v>320</v>
      </c>
      <c r="O18" s="18" t="s">
        <v>321</v>
      </c>
      <c r="P18" s="19">
        <v>4</v>
      </c>
    </row>
    <row r="19" spans="1:16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>
        <v>46185</v>
      </c>
      <c r="F19" s="17">
        <v>0.625</v>
      </c>
      <c r="J19">
        <v>4</v>
      </c>
      <c r="N19" s="18" t="s">
        <v>323</v>
      </c>
      <c r="O19" s="18" t="s">
        <v>324</v>
      </c>
      <c r="P19" s="19">
        <v>7</v>
      </c>
    </row>
    <row r="20" spans="1:16" x14ac:dyDescent="0.25">
      <c r="A20">
        <v>401</v>
      </c>
      <c r="B20" t="s">
        <v>325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46267</v>
      </c>
      <c r="F20" s="15" t="str">
        <f>VLOOKUP($I20,Table1[[#All],[course_name]:[epitirites]],5,FALSE)</f>
        <v>18:00:00</v>
      </c>
      <c r="I20" t="s">
        <v>146</v>
      </c>
      <c r="J20">
        <v>10</v>
      </c>
      <c r="N20" s="18" t="s">
        <v>326</v>
      </c>
      <c r="O20" s="18" t="s">
        <v>327</v>
      </c>
      <c r="P20" s="19">
        <v>2</v>
      </c>
    </row>
    <row r="21" spans="1:16" x14ac:dyDescent="0.25">
      <c r="A21">
        <f>A20+1</f>
        <v>402</v>
      </c>
      <c r="B21" t="s">
        <v>328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46280</v>
      </c>
      <c r="F21" s="15" t="str">
        <f>VLOOKUP($I21,Table1[[#All],[course_name]:[epitirites]],5,FALSE)</f>
        <v>18:00:00</v>
      </c>
      <c r="I21" t="s">
        <v>134</v>
      </c>
      <c r="J21">
        <v>5</v>
      </c>
      <c r="N21" s="18" t="s">
        <v>329</v>
      </c>
      <c r="O21" s="18" t="s">
        <v>330</v>
      </c>
      <c r="P21" s="19">
        <v>2</v>
      </c>
    </row>
    <row r="22" spans="1:16" x14ac:dyDescent="0.25">
      <c r="A22">
        <f>A21+1</f>
        <v>403</v>
      </c>
      <c r="B22" t="s">
        <v>331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46282</v>
      </c>
      <c r="F22" s="15" t="str">
        <f>VLOOKUP($I22,Table1[[#All],[course_name]:[epitirites]],5,FALSE)</f>
        <v>12:00:00</v>
      </c>
      <c r="I22" t="s">
        <v>128</v>
      </c>
      <c r="J22">
        <v>4</v>
      </c>
      <c r="N22" s="18" t="s">
        <v>332</v>
      </c>
      <c r="O22" s="18" t="s">
        <v>333</v>
      </c>
      <c r="P22" s="19">
        <v>10</v>
      </c>
    </row>
    <row r="23" spans="1:16" x14ac:dyDescent="0.25">
      <c r="A23">
        <f>A22+1</f>
        <v>404</v>
      </c>
      <c r="B23" t="s">
        <v>334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46273</v>
      </c>
      <c r="F23" s="15" t="str">
        <f>VLOOKUP($I23,Table1[[#All],[course_name]:[epitirites]],5,FALSE)</f>
        <v>18:00:00</v>
      </c>
      <c r="I23" t="s">
        <v>174</v>
      </c>
      <c r="J23">
        <v>2</v>
      </c>
      <c r="N23" s="18" t="s">
        <v>335</v>
      </c>
      <c r="O23" s="18" t="s">
        <v>336</v>
      </c>
      <c r="P23" s="19">
        <v>8</v>
      </c>
    </row>
    <row r="24" spans="1:16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>
        <v>46189</v>
      </c>
      <c r="F24" s="17">
        <v>0.625</v>
      </c>
      <c r="J24">
        <v>4</v>
      </c>
      <c r="N24" s="18" t="s">
        <v>338</v>
      </c>
      <c r="O24" s="18" t="s">
        <v>339</v>
      </c>
      <c r="P24" s="19">
        <v>5</v>
      </c>
    </row>
    <row r="25" spans="1:16" x14ac:dyDescent="0.25">
      <c r="A25">
        <f>A24+1</f>
        <v>406</v>
      </c>
      <c r="B25" t="s">
        <v>340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46282</v>
      </c>
      <c r="F25" s="15" t="str">
        <f>VLOOKUP($I25,Table1[[#All],[course_name]:[epitirites]],5,FALSE)</f>
        <v>09:00:00</v>
      </c>
      <c r="I25" t="s">
        <v>156</v>
      </c>
      <c r="J25">
        <v>4</v>
      </c>
      <c r="N25" s="18" t="s">
        <v>341</v>
      </c>
      <c r="O25" s="18" t="s">
        <v>342</v>
      </c>
      <c r="P25" s="19">
        <v>5</v>
      </c>
    </row>
    <row r="26" spans="1:16" x14ac:dyDescent="0.25">
      <c r="A26">
        <v>501</v>
      </c>
      <c r="B26" t="s">
        <v>343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46281</v>
      </c>
      <c r="F26" s="15" t="str">
        <f>VLOOKUP($I26,Table1[[#All],[course_name]:[epitirites]],5,FALSE)</f>
        <v>09:00:00</v>
      </c>
      <c r="I26" t="s">
        <v>162</v>
      </c>
      <c r="J26">
        <v>15</v>
      </c>
      <c r="N26" s="18" t="s">
        <v>344</v>
      </c>
      <c r="O26" s="18" t="s">
        <v>345</v>
      </c>
      <c r="P26" s="19">
        <v>2</v>
      </c>
    </row>
    <row r="27" spans="1:16" x14ac:dyDescent="0.25">
      <c r="A27">
        <f>A26+1</f>
        <v>502</v>
      </c>
      <c r="B27" t="s">
        <v>346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46283</v>
      </c>
      <c r="F27" s="15" t="str">
        <f>VLOOKUP($I27,Table1[[#All],[course_name]:[epitirites]],5,FALSE)</f>
        <v>12:00:00</v>
      </c>
      <c r="I27" t="s">
        <v>136</v>
      </c>
      <c r="J27">
        <v>6</v>
      </c>
      <c r="N27" s="18" t="s">
        <v>347</v>
      </c>
      <c r="O27" s="18" t="s">
        <v>348</v>
      </c>
      <c r="P27" s="19">
        <v>2</v>
      </c>
    </row>
    <row r="28" spans="1:16" x14ac:dyDescent="0.25">
      <c r="A28">
        <f>A27+1</f>
        <v>503</v>
      </c>
      <c r="B28" t="s">
        <v>150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46268</v>
      </c>
      <c r="F28" s="15" t="str">
        <f>VLOOKUP($I28,Table1[[#All],[course_name]:[epitirites]],5,FALSE)</f>
        <v>15:00:00</v>
      </c>
      <c r="I28" t="s">
        <v>150</v>
      </c>
      <c r="J28">
        <v>3</v>
      </c>
      <c r="N28" s="18" t="s">
        <v>349</v>
      </c>
      <c r="O28" s="18" t="s">
        <v>350</v>
      </c>
      <c r="P28" s="19">
        <v>4</v>
      </c>
    </row>
    <row r="29" spans="1:16" x14ac:dyDescent="0.25">
      <c r="A29">
        <f>A28+1</f>
        <v>504</v>
      </c>
      <c r="B29" t="s">
        <v>154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46279</v>
      </c>
      <c r="F29" s="15" t="str">
        <f>VLOOKUP($I29,Table1[[#All],[course_name]:[epitirites]],5,FALSE)</f>
        <v>18:00:00</v>
      </c>
      <c r="I29" t="s">
        <v>154</v>
      </c>
      <c r="J29">
        <v>5</v>
      </c>
      <c r="N29" s="18" t="s">
        <v>351</v>
      </c>
      <c r="O29" s="18" t="s">
        <v>352</v>
      </c>
      <c r="P29" s="19">
        <v>4</v>
      </c>
    </row>
    <row r="30" spans="1:16" x14ac:dyDescent="0.25">
      <c r="A30">
        <f>A29+1</f>
        <v>505</v>
      </c>
      <c r="B30" t="s">
        <v>353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46276</v>
      </c>
      <c r="F30" s="15" t="str">
        <f>VLOOKUP($I30,Table1[[#All],[course_name]:[epitirites]],5,FALSE)</f>
        <v>12:00:00</v>
      </c>
      <c r="I30" t="s">
        <v>142</v>
      </c>
      <c r="J30">
        <v>4</v>
      </c>
      <c r="N30" s="18" t="s">
        <v>354</v>
      </c>
      <c r="O30" s="18" t="s">
        <v>355</v>
      </c>
      <c r="P30" s="19">
        <v>4</v>
      </c>
    </row>
    <row r="31" spans="1:16" x14ac:dyDescent="0.25">
      <c r="A31">
        <v>601</v>
      </c>
      <c r="B31" t="s">
        <v>356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46287</v>
      </c>
      <c r="F31" s="15" t="str">
        <f>VLOOKUP($I31,Table1[[#All],[course_name]:[epitirites]],5,FALSE)</f>
        <v>15:00:00</v>
      </c>
      <c r="I31" t="s">
        <v>166</v>
      </c>
      <c r="J31">
        <v>1</v>
      </c>
      <c r="N31" s="18" t="s">
        <v>357</v>
      </c>
      <c r="O31" s="18" t="s">
        <v>358</v>
      </c>
      <c r="P31" s="19">
        <v>10</v>
      </c>
    </row>
    <row r="32" spans="1:16" x14ac:dyDescent="0.25">
      <c r="A32">
        <f>A31+1</f>
        <v>602</v>
      </c>
      <c r="B32" t="s">
        <v>359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46272</v>
      </c>
      <c r="F32" s="15" t="str">
        <f>VLOOKUP($I32,Table1[[#All],[course_name]:[epitirites]],5,FALSE)</f>
        <v>09:00:00</v>
      </c>
      <c r="I32" t="s">
        <v>195</v>
      </c>
      <c r="J32">
        <v>3</v>
      </c>
      <c r="N32" s="18" t="s">
        <v>360</v>
      </c>
      <c r="O32" s="18" t="s">
        <v>361</v>
      </c>
      <c r="P32" s="19">
        <v>10</v>
      </c>
    </row>
    <row r="33" spans="1:16" x14ac:dyDescent="0.25">
      <c r="A33">
        <f>A32+1</f>
        <v>603</v>
      </c>
      <c r="B33" t="s">
        <v>362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46276</v>
      </c>
      <c r="F33" s="15" t="str">
        <f>VLOOKUP($I33,Table1[[#All],[course_name]:[epitirites]],5,FALSE)</f>
        <v>15:00:00</v>
      </c>
      <c r="I33" t="s">
        <v>214</v>
      </c>
      <c r="J33">
        <v>3</v>
      </c>
      <c r="N33" s="18" t="s">
        <v>363</v>
      </c>
      <c r="O33" s="18" t="s">
        <v>364</v>
      </c>
      <c r="P33" s="19">
        <v>5</v>
      </c>
    </row>
    <row r="34" spans="1:16" x14ac:dyDescent="0.25">
      <c r="A34">
        <f>A33+1</f>
        <v>604</v>
      </c>
      <c r="B34" t="s">
        <v>102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46269</v>
      </c>
      <c r="F34" s="15" t="str">
        <f>VLOOKUP($I34,Table1[[#All],[course_name]:[epitirites]],5,FALSE)</f>
        <v>15:00:00</v>
      </c>
      <c r="I34" t="s">
        <v>102</v>
      </c>
      <c r="J34">
        <v>5</v>
      </c>
      <c r="N34" s="18" t="s">
        <v>365</v>
      </c>
      <c r="O34" s="18" t="s">
        <v>366</v>
      </c>
      <c r="P34" s="19">
        <v>5</v>
      </c>
    </row>
    <row r="35" spans="1:16" x14ac:dyDescent="0.25">
      <c r="A35">
        <f>A34+1</f>
        <v>605</v>
      </c>
      <c r="B35" t="s">
        <v>122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46276</v>
      </c>
      <c r="F35" s="15" t="str">
        <f>VLOOKUP($I35,Table1[[#All],[course_name]:[epitirites]],5,FALSE)</f>
        <v>09:00:00</v>
      </c>
      <c r="I35" t="s">
        <v>122</v>
      </c>
      <c r="J35">
        <v>2</v>
      </c>
      <c r="N35" s="18" t="s">
        <v>367</v>
      </c>
      <c r="O35" s="18" t="s">
        <v>368</v>
      </c>
      <c r="P35" s="19">
        <v>2</v>
      </c>
    </row>
    <row r="36" spans="1:16" x14ac:dyDescent="0.25">
      <c r="A36" t="s">
        <v>369</v>
      </c>
      <c r="B36" t="s">
        <v>370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46274</v>
      </c>
      <c r="F36" s="15" t="str">
        <f>VLOOKUP($I36,Table1[[#All],[course_name]:[epitirites]],5,FALSE)</f>
        <v>09:00:00</v>
      </c>
      <c r="I36" t="s">
        <v>210</v>
      </c>
      <c r="J36">
        <v>5</v>
      </c>
      <c r="N36" s="18" t="s">
        <v>371</v>
      </c>
      <c r="O36" s="18" t="s">
        <v>372</v>
      </c>
      <c r="P36" s="19">
        <v>4</v>
      </c>
    </row>
    <row r="37" spans="1:16" x14ac:dyDescent="0.25">
      <c r="A37" t="s">
        <v>373</v>
      </c>
      <c r="B37" t="s">
        <v>158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46275</v>
      </c>
      <c r="F37" s="15" t="str">
        <f>VLOOKUP($I37,Table1[[#All],[course_name]:[epitirites]],5,FALSE)</f>
        <v>09:00:00</v>
      </c>
      <c r="I37" t="s">
        <v>158</v>
      </c>
      <c r="J37">
        <v>3</v>
      </c>
      <c r="N37" s="18" t="s">
        <v>374</v>
      </c>
      <c r="O37" s="18" t="s">
        <v>375</v>
      </c>
      <c r="P37" s="19">
        <v>2</v>
      </c>
    </row>
    <row r="38" spans="1:16" x14ac:dyDescent="0.25">
      <c r="A38">
        <v>701</v>
      </c>
      <c r="B38" t="s">
        <v>376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46279</v>
      </c>
      <c r="F38" s="15" t="str">
        <f>VLOOKUP($I38,Table1[[#All],[course_name]:[epitirites]],5,FALSE)</f>
        <v>12:00:00</v>
      </c>
      <c r="I38" t="s">
        <v>140</v>
      </c>
      <c r="J38">
        <v>1</v>
      </c>
      <c r="N38" s="18" t="s">
        <v>377</v>
      </c>
      <c r="O38" s="18" t="s">
        <v>378</v>
      </c>
      <c r="P38" s="19">
        <v>2</v>
      </c>
    </row>
    <row r="39" spans="1:16" x14ac:dyDescent="0.25">
      <c r="A39">
        <v>702</v>
      </c>
      <c r="B39" t="s">
        <v>379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46286</v>
      </c>
      <c r="F39" s="15" t="str">
        <f>VLOOKUP($I39,Table1[[#All],[course_name]:[epitirites]],5,FALSE)</f>
        <v>15:00:00</v>
      </c>
      <c r="I39" t="s">
        <v>191</v>
      </c>
      <c r="J39">
        <v>3</v>
      </c>
      <c r="N39" s="18" t="s">
        <v>380</v>
      </c>
      <c r="O39" s="18" t="s">
        <v>381</v>
      </c>
      <c r="P39" s="19">
        <v>4</v>
      </c>
    </row>
    <row r="40" spans="1:16" x14ac:dyDescent="0.25">
      <c r="A40" t="s">
        <v>382</v>
      </c>
      <c r="B40" t="s">
        <v>250</v>
      </c>
      <c r="C40" s="22">
        <v>7</v>
      </c>
      <c r="D40" s="13" t="s">
        <v>80</v>
      </c>
      <c r="E40" s="16">
        <v>46203</v>
      </c>
      <c r="F40" s="17">
        <v>0.625</v>
      </c>
      <c r="I40" t="s">
        <v>250</v>
      </c>
      <c r="J40">
        <v>2</v>
      </c>
      <c r="N40" s="18" t="s">
        <v>383</v>
      </c>
      <c r="O40" s="18" t="s">
        <v>384</v>
      </c>
      <c r="P40" s="19">
        <v>4</v>
      </c>
    </row>
    <row r="41" spans="1:16" x14ac:dyDescent="0.25">
      <c r="A41" t="s">
        <v>385</v>
      </c>
      <c r="B41" t="s">
        <v>386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46279</v>
      </c>
      <c r="F41" s="15" t="str">
        <f>VLOOKUP($I41,Table1[[#All],[course_name]:[epitirites]],5,FALSE)</f>
        <v>15:00:00</v>
      </c>
      <c r="I41" t="s">
        <v>219</v>
      </c>
      <c r="J41">
        <v>5</v>
      </c>
      <c r="N41" s="18" t="s">
        <v>387</v>
      </c>
      <c r="O41" s="18" t="s">
        <v>388</v>
      </c>
      <c r="P41" s="19">
        <v>2</v>
      </c>
    </row>
    <row r="42" spans="1:16" x14ac:dyDescent="0.25">
      <c r="A42" t="s">
        <v>389</v>
      </c>
      <c r="B42" t="s">
        <v>390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46275</v>
      </c>
      <c r="F42" s="15" t="str">
        <f>VLOOKUP($I42,Table1[[#All],[course_name]:[epitirites]],5,FALSE)</f>
        <v>12:00:00</v>
      </c>
      <c r="I42" t="s">
        <v>109</v>
      </c>
      <c r="J42">
        <v>6</v>
      </c>
      <c r="N42" s="18" t="s">
        <v>391</v>
      </c>
      <c r="O42" s="18" t="s">
        <v>392</v>
      </c>
      <c r="P42" s="19">
        <v>4</v>
      </c>
    </row>
    <row r="43" spans="1:16" x14ac:dyDescent="0.25">
      <c r="A43" t="s">
        <v>393</v>
      </c>
      <c r="B43" t="s">
        <v>394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46283</v>
      </c>
      <c r="F43" s="15" t="str">
        <f>VLOOKUP($I43,Table1[[#All],[course_name]:[epitirites]],5,FALSE)</f>
        <v>15:00:00</v>
      </c>
      <c r="I43" t="s">
        <v>204</v>
      </c>
      <c r="J43">
        <v>2</v>
      </c>
      <c r="N43" s="18" t="s">
        <v>395</v>
      </c>
      <c r="O43" s="18" t="s">
        <v>396</v>
      </c>
      <c r="P43" s="19">
        <v>15</v>
      </c>
    </row>
    <row r="44" spans="1:16" x14ac:dyDescent="0.25">
      <c r="A44" t="s">
        <v>397</v>
      </c>
      <c r="B44" t="s">
        <v>398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46274</v>
      </c>
      <c r="F44" s="15" t="str">
        <f>VLOOKUP($I44,Table1[[#All],[course_name]:[epitirites]],5,FALSE)</f>
        <v>18:00:00</v>
      </c>
      <c r="I44" t="s">
        <v>98</v>
      </c>
      <c r="J44">
        <v>2</v>
      </c>
      <c r="N44" s="18" t="s">
        <v>399</v>
      </c>
      <c r="O44" s="18" t="s">
        <v>400</v>
      </c>
      <c r="P44" s="19">
        <v>15</v>
      </c>
    </row>
    <row r="45" spans="1:16" x14ac:dyDescent="0.25">
      <c r="A45" t="s">
        <v>401</v>
      </c>
      <c r="B45" t="s">
        <v>402</v>
      </c>
      <c r="C45" s="22">
        <v>7</v>
      </c>
      <c r="D45" s="13" t="s">
        <v>41</v>
      </c>
      <c r="E45" s="16">
        <v>46195</v>
      </c>
      <c r="F45" s="17">
        <v>0.5</v>
      </c>
      <c r="J45">
        <v>2</v>
      </c>
      <c r="N45" s="18" t="s">
        <v>403</v>
      </c>
      <c r="O45" s="18" t="s">
        <v>404</v>
      </c>
      <c r="P45" s="19">
        <v>6</v>
      </c>
    </row>
    <row r="46" spans="1:16" x14ac:dyDescent="0.25">
      <c r="N46" s="18" t="s">
        <v>405</v>
      </c>
      <c r="O46" s="18" t="s">
        <v>406</v>
      </c>
      <c r="P46" s="19">
        <v>6</v>
      </c>
    </row>
    <row r="47" spans="1:16" x14ac:dyDescent="0.25">
      <c r="N47" s="18" t="s">
        <v>407</v>
      </c>
      <c r="O47" s="18" t="s">
        <v>408</v>
      </c>
      <c r="P47" s="19">
        <v>3</v>
      </c>
    </row>
    <row r="48" spans="1:16" x14ac:dyDescent="0.25">
      <c r="N48" s="18" t="s">
        <v>409</v>
      </c>
      <c r="O48" s="18" t="s">
        <v>410</v>
      </c>
      <c r="P48" s="19">
        <v>3</v>
      </c>
    </row>
    <row r="49" spans="14:16" x14ac:dyDescent="0.25">
      <c r="N49" s="18" t="s">
        <v>411</v>
      </c>
      <c r="O49" s="18" t="s">
        <v>412</v>
      </c>
      <c r="P49" s="19">
        <v>5</v>
      </c>
    </row>
    <row r="50" spans="14:16" x14ac:dyDescent="0.25">
      <c r="N50" s="18" t="s">
        <v>413</v>
      </c>
      <c r="O50" s="18" t="s">
        <v>414</v>
      </c>
      <c r="P50" s="19">
        <v>5</v>
      </c>
    </row>
    <row r="51" spans="14:16" x14ac:dyDescent="0.25">
      <c r="N51" s="18" t="s">
        <v>415</v>
      </c>
      <c r="O51" s="18" t="s">
        <v>416</v>
      </c>
      <c r="P51" s="19">
        <v>4</v>
      </c>
    </row>
    <row r="52" spans="14:16" x14ac:dyDescent="0.25">
      <c r="N52" s="18" t="s">
        <v>417</v>
      </c>
      <c r="O52" s="18" t="s">
        <v>418</v>
      </c>
      <c r="P52" s="19">
        <v>1</v>
      </c>
    </row>
    <row r="53" spans="14:16" x14ac:dyDescent="0.25">
      <c r="N53" s="18" t="s">
        <v>419</v>
      </c>
      <c r="O53" s="18" t="s">
        <v>420</v>
      </c>
      <c r="P53" s="19">
        <v>1</v>
      </c>
    </row>
    <row r="54" spans="14:16" x14ac:dyDescent="0.25">
      <c r="N54" s="18" t="s">
        <v>421</v>
      </c>
      <c r="O54" s="18" t="s">
        <v>422</v>
      </c>
      <c r="P54" s="19">
        <v>3</v>
      </c>
    </row>
    <row r="55" spans="14:16" x14ac:dyDescent="0.25">
      <c r="N55" s="18" t="s">
        <v>423</v>
      </c>
      <c r="O55" s="18" t="s">
        <v>424</v>
      </c>
      <c r="P55" s="19">
        <v>3</v>
      </c>
    </row>
    <row r="56" spans="14:16" x14ac:dyDescent="0.25">
      <c r="N56" s="18" t="s">
        <v>425</v>
      </c>
      <c r="O56" s="18" t="s">
        <v>426</v>
      </c>
      <c r="P56" s="19">
        <v>3</v>
      </c>
    </row>
    <row r="57" spans="14:16" x14ac:dyDescent="0.25">
      <c r="N57" s="18" t="s">
        <v>427</v>
      </c>
      <c r="O57" s="18" t="s">
        <v>428</v>
      </c>
      <c r="P57" s="19">
        <v>3</v>
      </c>
    </row>
    <row r="58" spans="14:16" x14ac:dyDescent="0.25">
      <c r="N58" s="18" t="s">
        <v>429</v>
      </c>
      <c r="O58" s="18" t="s">
        <v>430</v>
      </c>
      <c r="P58" s="19">
        <v>5</v>
      </c>
    </row>
    <row r="59" spans="14:16" x14ac:dyDescent="0.25">
      <c r="N59" s="18" t="s">
        <v>431</v>
      </c>
      <c r="O59" s="18" t="s">
        <v>432</v>
      </c>
      <c r="P59" s="19">
        <v>5</v>
      </c>
    </row>
    <row r="60" spans="14:16" x14ac:dyDescent="0.25">
      <c r="N60" s="18" t="s">
        <v>433</v>
      </c>
      <c r="O60" s="18" t="s">
        <v>434</v>
      </c>
      <c r="P60" s="19">
        <v>5</v>
      </c>
    </row>
    <row r="61" spans="14:16" x14ac:dyDescent="0.25">
      <c r="N61" s="18" t="s">
        <v>435</v>
      </c>
      <c r="O61" s="18" t="s">
        <v>436</v>
      </c>
      <c r="P61" s="19">
        <v>5</v>
      </c>
    </row>
    <row r="62" spans="14:16" x14ac:dyDescent="0.25">
      <c r="N62" s="18" t="s">
        <v>437</v>
      </c>
      <c r="O62" s="18" t="s">
        <v>438</v>
      </c>
      <c r="P62" s="19">
        <v>2</v>
      </c>
    </row>
    <row r="63" spans="14:16" x14ac:dyDescent="0.25">
      <c r="N63" s="18" t="s">
        <v>439</v>
      </c>
      <c r="O63" s="18" t="s">
        <v>440</v>
      </c>
      <c r="P63" s="19">
        <v>2</v>
      </c>
    </row>
    <row r="64" spans="14:16" x14ac:dyDescent="0.25">
      <c r="N64" s="18" t="s">
        <v>441</v>
      </c>
      <c r="O64" s="18" t="s">
        <v>442</v>
      </c>
      <c r="P64" s="19"/>
    </row>
    <row r="65" spans="14:16" x14ac:dyDescent="0.25">
      <c r="N65" s="18" t="s">
        <v>443</v>
      </c>
      <c r="O65" s="18" t="s">
        <v>444</v>
      </c>
      <c r="P65" s="19"/>
    </row>
    <row r="66" spans="14:16" x14ac:dyDescent="0.25">
      <c r="N66" s="18" t="s">
        <v>445</v>
      </c>
      <c r="O66" s="18" t="s">
        <v>446</v>
      </c>
      <c r="P66" s="19"/>
    </row>
    <row r="67" spans="14:16" x14ac:dyDescent="0.25">
      <c r="N67" s="18" t="s">
        <v>447</v>
      </c>
      <c r="O67" s="18" t="s">
        <v>448</v>
      </c>
      <c r="P67" s="19"/>
    </row>
    <row r="68" spans="14:16" x14ac:dyDescent="0.25">
      <c r="N68" s="18" t="s">
        <v>449</v>
      </c>
      <c r="O68" s="18" t="s">
        <v>450</v>
      </c>
      <c r="P68" s="19"/>
    </row>
    <row r="69" spans="14:16" x14ac:dyDescent="0.25">
      <c r="N69" s="18" t="s">
        <v>451</v>
      </c>
      <c r="O69" s="18" t="s">
        <v>452</v>
      </c>
      <c r="P69" s="19"/>
    </row>
    <row r="70" spans="14:16" x14ac:dyDescent="0.25">
      <c r="N70" s="18" t="s">
        <v>453</v>
      </c>
      <c r="O70" s="18" t="s">
        <v>454</v>
      </c>
      <c r="P70" s="19"/>
    </row>
    <row r="71" spans="14:16" x14ac:dyDescent="0.25">
      <c r="N71" s="18" t="s">
        <v>455</v>
      </c>
      <c r="O71" s="18" t="s">
        <v>456</v>
      </c>
      <c r="P71" s="19"/>
    </row>
    <row r="72" spans="14:16" x14ac:dyDescent="0.25">
      <c r="N72" s="18" t="s">
        <v>457</v>
      </c>
      <c r="O72" s="18" t="s">
        <v>458</v>
      </c>
      <c r="P72" s="19"/>
    </row>
    <row r="73" spans="14:16" x14ac:dyDescent="0.25">
      <c r="N73" s="18" t="s">
        <v>459</v>
      </c>
      <c r="O73" s="18" t="s">
        <v>460</v>
      </c>
      <c r="P73" s="19"/>
    </row>
    <row r="74" spans="14:16" x14ac:dyDescent="0.25">
      <c r="N74" s="18" t="s">
        <v>461</v>
      </c>
      <c r="O74" s="18" t="s">
        <v>462</v>
      </c>
      <c r="P74" s="19"/>
    </row>
    <row r="75" spans="14:16" x14ac:dyDescent="0.25">
      <c r="N75" s="18" t="s">
        <v>463</v>
      </c>
      <c r="O75" s="18" t="s">
        <v>464</v>
      </c>
      <c r="P75" s="19"/>
    </row>
    <row r="76" spans="14:16" x14ac:dyDescent="0.25">
      <c r="N76" s="18" t="s">
        <v>465</v>
      </c>
      <c r="O76" s="18" t="s">
        <v>466</v>
      </c>
      <c r="P76" s="19"/>
    </row>
    <row r="77" spans="14:16" x14ac:dyDescent="0.25">
      <c r="N77" s="18" t="s">
        <v>467</v>
      </c>
      <c r="O77" s="18" t="s">
        <v>468</v>
      </c>
      <c r="P77" s="19"/>
    </row>
    <row r="78" spans="14:16" x14ac:dyDescent="0.25">
      <c r="N78" s="18" t="s">
        <v>469</v>
      </c>
      <c r="O78" s="18" t="s">
        <v>470</v>
      </c>
      <c r="P78" s="19"/>
    </row>
    <row r="79" spans="14:16" x14ac:dyDescent="0.25">
      <c r="N79" s="18" t="s">
        <v>471</v>
      </c>
      <c r="O79" s="18" t="s">
        <v>472</v>
      </c>
      <c r="P79" s="19"/>
    </row>
  </sheetData>
  <autoFilter ref="A1:J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14" activePane="bottomLeft" state="frozen"/>
      <selection pane="bottomLeft" activeCell="A34" sqref="A34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473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474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475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476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477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477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478</v>
      </c>
      <c r="B43" s="11">
        <v>7</v>
      </c>
      <c r="C43" s="9" t="s">
        <v>479</v>
      </c>
    </row>
    <row r="44" spans="1:3" x14ac:dyDescent="0.25">
      <c r="A44" s="8" t="s">
        <v>480</v>
      </c>
      <c r="B44" s="8">
        <v>7</v>
      </c>
      <c r="C44" s="10" t="s">
        <v>481</v>
      </c>
    </row>
    <row r="45" spans="1:3" x14ac:dyDescent="0.25">
      <c r="A45" s="10" t="s">
        <v>482</v>
      </c>
      <c r="B45" s="10">
        <v>7</v>
      </c>
      <c r="C45" s="10" t="s">
        <v>483</v>
      </c>
    </row>
    <row r="46" spans="1:3" x14ac:dyDescent="0.25">
      <c r="A46" s="8" t="s">
        <v>484</v>
      </c>
      <c r="B46" s="8">
        <v>7</v>
      </c>
    </row>
    <row r="47" spans="1:3" x14ac:dyDescent="0.25">
      <c r="A47" s="10" t="s">
        <v>485</v>
      </c>
      <c r="B47" s="10">
        <v>7</v>
      </c>
      <c r="C47" s="11" t="s">
        <v>486</v>
      </c>
    </row>
    <row r="48" spans="1:3" x14ac:dyDescent="0.25">
      <c r="A48" s="10" t="s">
        <v>487</v>
      </c>
      <c r="B48" s="11">
        <v>7</v>
      </c>
      <c r="C48" s="10" t="s">
        <v>488</v>
      </c>
    </row>
    <row r="49" spans="1:4" x14ac:dyDescent="0.25">
      <c r="A49" s="8" t="s">
        <v>489</v>
      </c>
      <c r="B49" s="8">
        <v>7</v>
      </c>
    </row>
    <row r="50" spans="1:4" x14ac:dyDescent="0.25">
      <c r="A50" s="11" t="s">
        <v>490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491</v>
      </c>
      <c r="B54" s="9">
        <v>8</v>
      </c>
    </row>
    <row r="55" spans="1:4" x14ac:dyDescent="0.25">
      <c r="A55" s="11" t="s">
        <v>492</v>
      </c>
      <c r="B55" s="11">
        <v>8</v>
      </c>
      <c r="C55" s="11" t="s">
        <v>493</v>
      </c>
      <c r="D55" s="10" t="s">
        <v>494</v>
      </c>
    </row>
    <row r="56" spans="1:4" x14ac:dyDescent="0.25">
      <c r="A56" s="10" t="s">
        <v>495</v>
      </c>
      <c r="B56" s="10">
        <v>8</v>
      </c>
      <c r="C56" s="10" t="s">
        <v>496</v>
      </c>
      <c r="D56" s="10" t="s">
        <v>497</v>
      </c>
    </row>
    <row r="57" spans="1:4" x14ac:dyDescent="0.25">
      <c r="A57" s="10" t="s">
        <v>498</v>
      </c>
      <c r="B57" s="10">
        <v>8</v>
      </c>
      <c r="C57" s="10" t="s">
        <v>499</v>
      </c>
      <c r="D57" s="11" t="s">
        <v>500</v>
      </c>
    </row>
    <row r="58" spans="1:4" x14ac:dyDescent="0.25">
      <c r="A58" s="8" t="s">
        <v>501</v>
      </c>
      <c r="B58" s="8">
        <v>8</v>
      </c>
    </row>
    <row r="59" spans="1:4" x14ac:dyDescent="0.25">
      <c r="A59" s="10" t="s">
        <v>502</v>
      </c>
      <c r="B59" s="10">
        <v>8</v>
      </c>
      <c r="C59" s="10" t="s">
        <v>503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504</v>
      </c>
      <c r="B62" s="10">
        <v>9</v>
      </c>
      <c r="C62" s="11" t="s">
        <v>505</v>
      </c>
    </row>
    <row r="63" spans="1:4" x14ac:dyDescent="0.25">
      <c r="A63" s="8" t="s">
        <v>506</v>
      </c>
      <c r="B63" s="8">
        <v>9</v>
      </c>
      <c r="C63" s="11" t="s">
        <v>507</v>
      </c>
    </row>
    <row r="64" spans="1:4" x14ac:dyDescent="0.25">
      <c r="A64" s="10" t="s">
        <v>508</v>
      </c>
      <c r="B64" s="10">
        <v>9</v>
      </c>
      <c r="C64" s="11" t="s">
        <v>509</v>
      </c>
      <c r="D64" s="10" t="s">
        <v>510</v>
      </c>
    </row>
    <row r="65" spans="1:3" x14ac:dyDescent="0.25">
      <c r="A65" s="8" t="s">
        <v>511</v>
      </c>
      <c r="B65" s="8">
        <v>9</v>
      </c>
      <c r="C65" s="9" t="s">
        <v>512</v>
      </c>
    </row>
    <row r="66" spans="1:3" x14ac:dyDescent="0.25">
      <c r="A66" s="11" t="s">
        <v>513</v>
      </c>
      <c r="B66" s="11">
        <v>9</v>
      </c>
    </row>
    <row r="67" spans="1:3" x14ac:dyDescent="0.25">
      <c r="A67" s="9" t="s">
        <v>514</v>
      </c>
      <c r="B67" s="9">
        <v>9</v>
      </c>
    </row>
    <row r="68" spans="1:3" x14ac:dyDescent="0.25">
      <c r="A68" s="11" t="s">
        <v>515</v>
      </c>
      <c r="B68" s="11">
        <v>9</v>
      </c>
    </row>
    <row r="69" spans="1:3" x14ac:dyDescent="0.25">
      <c r="B69" s="10"/>
    </row>
    <row r="75" spans="1:3" x14ac:dyDescent="0.25">
      <c r="A75" t="s">
        <v>516</v>
      </c>
      <c r="B75">
        <v>17</v>
      </c>
    </row>
    <row r="76" spans="1:3" x14ac:dyDescent="0.25">
      <c r="A76" t="s">
        <v>517</v>
      </c>
      <c r="B76">
        <v>4</v>
      </c>
    </row>
    <row r="77" spans="1:3" x14ac:dyDescent="0.25">
      <c r="A77" t="s">
        <v>518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2026-07-21T18:44:45Z</dcterms:modified>
</cp:coreProperties>
</file>