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8BBBE54E-355F-4A41-8CC4-BB3DD6EE866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6" l="1"/>
  <c r="E25" i="6"/>
  <c r="F25" i="6"/>
  <c r="E3" i="6"/>
  <c r="F3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</calcChain>
</file>

<file path=xl/sharedStrings.xml><?xml version="1.0" encoding="utf-8"?>
<sst xmlns="http://schemas.openxmlformats.org/spreadsheetml/2006/main" count="829" uniqueCount="325">
  <si>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</si>
  <si>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</si>
  <si>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</si>
  <si>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</si>
  <si>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</si>
  <si>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</si>
  <si>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</si>
  <si>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</si>
  <si>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</si>
  <si>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</si>
  <si>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</si>
  <si>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</si>
  <si>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</si>
  <si>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</si>
  <si>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</si>
  <si>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</si>
  <si>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</si>
  <si>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</si>
  <si>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</si>
  <si>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</si>
  <si>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</si>
  <si>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</si>
  <si>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</si>
  <si>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</si>
  <si>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</si>
  <si>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</si>
  <si>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</si>
  <si>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</si>
  <si>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</si>
  <si>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</si>
  <si>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</si>
  <si>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</si>
  <si>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</si>
  <si>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</si>
  <si>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</si>
  <si>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</si>
  <si>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</si>
  <si>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</si>
  <si>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</si>
  <si>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</si>
  <si>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</si>
  <si>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</si>
  <si>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</si>
  <si>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</si>
  <si>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</si>
  <si>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</si>
  <si>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</si>
  <si>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</si>
  <si>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</si>
  <si>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</si>
  <si>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</si>
  <si>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</si>
  <si>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</si>
  <si>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</si>
  <si>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</si>
  <si>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</si>
  <si>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</si>
  <si>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</si>
  <si>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</si>
  <si>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</si>
  <si>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</si>
  <si>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</si>
  <si>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</si>
  <si>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</si>
  <si>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</si>
  <si>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</si>
  <si>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</si>
  <si>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</si>
  <si>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</si>
  <si>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</si>
  <si>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</si>
  <si>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</si>
  <si>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</si>
  <si>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</si>
  <si>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</si>
  <si>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</si>
  <si>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</si>
  <si>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</si>
  <si>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</si>
  <si>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</si>
  <si>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</si>
  <si>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</si>
  <si>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</si>
  <si>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</si>
  <si>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</si>
  <si>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</si>
  <si>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</si>
  <si>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</si>
  <si>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</si>
  <si>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</si>
  <si>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</si>
  <si>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</si>
  <si>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</si>
  <si>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</si>
  <si>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</si>
  <si>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</si>
  <si>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</si>
  <si>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</si>
  <si>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</si>
  <si>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</si>
  <si>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</si>
  <si>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</si>
  <si>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</si>
  <si>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</si>
  <si>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</si>
  <si>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</si>
  <si>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</si>
  <si>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</si>
  <si>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</si>
  <si>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</si>
  <si>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</si>
  <si>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</si>
  <si>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</si>
  <si>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</si>
  <si>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</si>
  <si>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</si>
  <si>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</si>
  <si>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</si>
  <si>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</si>
  <si>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</si>
  <si>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</si>
  <si>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</si>
  <si>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</si>
  <si>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</si>
  <si>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</si>
  <si>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</si>
  <si>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</si>
  <si>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</si>
  <si>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</si>
  <si>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</si>
  <si>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</si>
  <si>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</si>
  <si>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</si>
  <si>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</si>
  <si>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</si>
  <si>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</si>
  <si>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</si>
  <si>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</si>
  <si>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</si>
  <si>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</si>
  <si>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</si>
  <si>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</si>
  <si>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</si>
  <si>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</si>
  <si>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</si>
  <si>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</si>
  <si>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</si>
  <si>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</si>
  <si>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</si>
  <si>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</si>
  <si>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</si>
  <si>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</si>
  <si>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</si>
  <si>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</si>
  <si>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</si>
  <si>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</si>
  <si>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</si>
  <si>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</si>
  <si>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</si>
  <si>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</si>
  <si>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</si>
  <si>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</si>
  <si>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</si>
  <si>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</si>
  <si>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</si>
  <si>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</si>
  <si>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</si>
  <si>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</si>
  <si>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</si>
  <si>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</si>
  <si>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</si>
  <si>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</si>
  <si>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</si>
  <si>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</si>
  <si>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</si>
  <si>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</si>
  <si>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</si>
  <si>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</si>
  <si>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</si>
  <si>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</si>
  <si>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</si>
  <si>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</si>
  <si>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</si>
  <si>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</si>
  <si>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</si>
  <si>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</si>
  <si>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</si>
  <si>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</si>
  <si>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</si>
  <si>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</si>
  <si>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</si>
  <si>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</si>
  <si>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</si>
  <si>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</si>
  <si>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</si>
  <si>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</si>
  <si>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</si>
  <si>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</si>
  <si>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</si>
  <si>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</si>
  <si>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</si>
  <si>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</si>
  <si>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</si>
  <si>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</si>
  <si>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</si>
  <si>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</si>
  <si>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</si>
  <si>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</si>
  <si>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</si>
  <si>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</si>
  <si>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</si>
  <si>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</si>
  <si>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</si>
  <si>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</si>
  <si>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</si>
  <si>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</si>
  <si>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</si>
  <si>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</si>
  <si>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</si>
  <si>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</si>
  <si>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</si>
  <si>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</si>
  <si>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</si>
  <si>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</si>
  <si>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</si>
  <si>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</si>
  <si>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</si>
  <si>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</si>
  <si>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</si>
  <si>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</si>
  <si>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</si>
  <si>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</si>
  <si>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</si>
  <si>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</si>
  <si>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</si>
  <si>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</si>
  <si>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</si>
  <si>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</si>
  <si>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</si>
  <si>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</si>
  <si>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</si>
  <si>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</si>
  <si>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</si>
  <si>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</si>
  <si>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</si>
  <si>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</si>
  <si>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</si>
  <si>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</si>
  <si>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</si>
  <si>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</si>
  <si>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</si>
  <si>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</si>
  <si>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</si>
  <si>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</si>
  <si>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</si>
  <si>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</si>
  <si>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</si>
  <si>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</si>
  <si>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</si>
  <si>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</si>
  <si>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</si>
  <si>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</si>
  <si>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</si>
  <si>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</si>
  <si>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</si>
  <si>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</si>
  <si>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</si>
  <si>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</si>
  <si>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</si>
  <si>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</si>
  <si>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</si>
  <si>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</si>
  <si>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</si>
  <si>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</si>
  <si>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</si>
  <si>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</si>
  <si>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</si>
  <si>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</si>
  <si>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</si>
  <si>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</si>
  <si>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</si>
  <si>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</si>
  <si>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</si>
  <si>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</si>
  <si>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</si>
  <si>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</si>
  <si>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</si>
  <si>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</si>
  <si>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</si>
  <si>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</si>
  <si>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</si>
  <si>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</si>
  <si>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</si>
  <si>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</si>
  <si>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</si>
  <si>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</si>
  <si>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</si>
  <si>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</si>
  <si>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</si>
  <si>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</si>
  <si>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</si>
  <si>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</si>
  <si>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</si>
  <si>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</si>
  <si>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</si>
  <si>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</si>
  <si>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</si>
  <si>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</si>
  <si>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</si>
  <si>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</si>
  <si>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</si>
  <si>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Μάθημα ΔΙΠΑΕ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</si>
  <si>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</si>
  <si>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</si>
  <si>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</si>
  <si>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</si>
  <si>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</si>
  <si>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</si>
  <si>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</si>
  <si>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</si>
  <si>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</si>
  <si>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</si>
  <si>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</si>
  <si>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</si>
  <si>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Διδάχθηκε από Γαλάνη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</si>
</sst>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164" fontId="1" fillId="0" borderId="0" xfId="0" applyNumberFormat="1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14" fontId="0" fillId="4" borderId="0" xfId="0" applyNumberFormat="1" applyFill="1"/>
    <xf numFmtId="164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topLeftCell="A7" workbookViewId="0">
      <selection activeCell="A31" sqref="A31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2"/>
  <sheetViews>
    <sheetView zoomScale="85" zoomScaleNormal="85" workbookViewId="0">
      <pane ySplit="1" topLeftCell="A14" activePane="bottomLeft" state="frozen"/>
      <selection pane="bottomLeft" activeCell="Q17" sqref="Q17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20">
        <v>46049</v>
      </c>
      <c r="F8" s="21">
        <v>0.75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46043</v>
      </c>
      <c r="F14" s="2">
        <v>0.375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46055</v>
      </c>
      <c r="F16" s="2">
        <v>0.375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46059</v>
      </c>
      <c r="F19" s="2">
        <v>0.375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8">
        <v>46063</v>
      </c>
      <c r="F37" s="9">
        <v>0.75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46055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46058</v>
      </c>
      <c r="F62" s="2">
        <v>0.75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8">
        <v>46044</v>
      </c>
      <c r="F64" s="9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8">
        <v>46044</v>
      </c>
      <c r="F73" s="9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8">
        <v>46044</v>
      </c>
      <c r="F78" s="9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8">
        <v>46050</v>
      </c>
      <c r="F100" s="9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J45"/>
  <sheetViews>
    <sheetView tabSelected="1" zoomScale="85" zoomScaleNormal="85" workbookViewId="0">
      <pane ySplit="1" topLeftCell="A2" activePane="bottomLeft" state="frozen"/>
      <selection pane="bottomLeft" activeCell="M23" sqref="M23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bestFit="1" customWidth="1"/>
    <col min="5" max="5" width="14.28515625" bestFit="1" customWidth="1"/>
    <col min="6" max="6" width="13" bestFit="1" customWidth="1"/>
    <col min="7" max="7" width="7.28515625" bestFit="1" customWidth="1"/>
    <col min="10" max="10" width="65" bestFit="1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8</v>
      </c>
      <c r="I1" s="14" t="s">
        <v>7</v>
      </c>
      <c r="J1" t="s">
        <v>311</v>
      </c>
    </row>
    <row r="2" spans="1:10" x14ac:dyDescent="0.25">
      <c r="B2" t="s">
        <v>287</v>
      </c>
      <c r="C2">
        <v>1</v>
      </c>
      <c r="D2" t="str">
        <f>VLOOKUP($J2,Table1[[#All],[course_name]:[epitirites]],3,FALSE)</f>
        <v>Παπαϊωάννου</v>
      </c>
      <c r="E2" s="16">
        <f>VLOOKUP($J2,Table1[[#All],[course_name]:[epitirites]],4,FALSE)</f>
        <v>46045</v>
      </c>
      <c r="F2" s="17">
        <f>VLOOKUP($J2,Table1[[#All],[course_name]:[epitirites]],5,FALSE)</f>
        <v>0.375</v>
      </c>
      <c r="J2" t="s">
        <v>13</v>
      </c>
    </row>
    <row r="3" spans="1:10" x14ac:dyDescent="0.25">
      <c r="B3" t="s">
        <v>288</v>
      </c>
      <c r="C3">
        <v>1</v>
      </c>
      <c r="D3" t="str">
        <f>VLOOKUP($J3,Table1[[#All],[course_name]:[epitirites]],3,FALSE)</f>
        <v>ΔΕΠ</v>
      </c>
      <c r="E3" s="16">
        <f>VLOOKUP($J3,Table1[[#All],[course_name]:[epitirites]],4,FALSE)</f>
        <v>46049</v>
      </c>
      <c r="F3" s="17">
        <f>VLOOKUP($J3,Table1[[#All],[course_name]:[epitirites]],5,FALSE)</f>
        <v>0.75</v>
      </c>
      <c r="J3" t="s">
        <v>27</v>
      </c>
    </row>
    <row r="4" spans="1:10" x14ac:dyDescent="0.25">
      <c r="B4" t="s">
        <v>289</v>
      </c>
      <c r="C4">
        <v>1</v>
      </c>
      <c r="D4" t="str">
        <f>VLOOKUP($J4,Table1[[#All],[course_name]:[epitirites]],3,FALSE)</f>
        <v>Βλαχονάσιου</v>
      </c>
      <c r="E4" s="16">
        <f>VLOOKUP($J4,Table1[[#All],[course_name]:[epitirites]],4,FALSE)</f>
        <v>46042</v>
      </c>
      <c r="F4" s="17">
        <f>VLOOKUP($J4,Table1[[#All],[course_name]:[epitirites]],5,FALSE)</f>
        <v>0.375</v>
      </c>
      <c r="J4" t="s">
        <v>21</v>
      </c>
    </row>
    <row r="5" spans="1:10" x14ac:dyDescent="0.25">
      <c r="B5" t="s">
        <v>290</v>
      </c>
      <c r="C5">
        <v>1</v>
      </c>
      <c r="D5" t="str">
        <f>VLOOKUP($J5,Table1[[#All],[course_name]:[epitirites]],3,FALSE)</f>
        <v>Καλαμάκης</v>
      </c>
      <c r="E5" s="16">
        <f>VLOOKUP($J5,Table1[[#All],[course_name]:[epitirites]],4,FALSE)</f>
        <v>46058</v>
      </c>
      <c r="F5" s="17">
        <f>VLOOKUP($J5,Table1[[#All],[course_name]:[epitirites]],5,FALSE)</f>
        <v>0.5</v>
      </c>
      <c r="J5" t="s">
        <v>15</v>
      </c>
    </row>
    <row r="6" spans="1:10" x14ac:dyDescent="0.25">
      <c r="B6" t="s">
        <v>292</v>
      </c>
      <c r="C6">
        <v>1</v>
      </c>
      <c r="D6" t="str">
        <f>VLOOKUP($J6,Table1[[#All],[course_name]:[epitirites]],3,FALSE)</f>
        <v>Δροσόπουλος</v>
      </c>
      <c r="E6" s="16">
        <f>VLOOKUP($J6,Table1[[#All],[course_name]:[epitirites]],4,FALSE)</f>
        <v>46041</v>
      </c>
      <c r="F6" s="17">
        <f>VLOOKUP($J6,Table1[[#All],[course_name]:[epitirites]],5,FALSE)</f>
        <v>0.5</v>
      </c>
      <c r="J6" t="s">
        <v>29</v>
      </c>
    </row>
    <row r="7" spans="1:10" x14ac:dyDescent="0.25">
      <c r="B7" t="s">
        <v>291</v>
      </c>
      <c r="C7">
        <v>1</v>
      </c>
      <c r="D7" t="str">
        <f>VLOOKUP($J7,Table1[[#All],[course_name]:[epitirites]],3,FALSE)</f>
        <v>Βοζίκης</v>
      </c>
      <c r="E7" s="16">
        <f>VLOOKUP($J7,Table1[[#All],[course_name]:[epitirites]],4,FALSE)</f>
        <v>46064</v>
      </c>
      <c r="F7" s="17">
        <f>VLOOKUP($J7,Table1[[#All],[course_name]:[epitirites]],5,FALSE)</f>
        <v>0.5</v>
      </c>
      <c r="J7" t="s">
        <v>18</v>
      </c>
    </row>
    <row r="8" spans="1:10" x14ac:dyDescent="0.25">
      <c r="B8" t="s">
        <v>293</v>
      </c>
      <c r="C8">
        <v>2</v>
      </c>
      <c r="D8" t="str">
        <f>VLOOKUP($J8,Table1[[#All],[course_name]:[epitirites]],3,FALSE)</f>
        <v>Παπαϊωάννου</v>
      </c>
      <c r="E8" s="16">
        <f>VLOOKUP($J8,Table1[[#All],[course_name]:[epitirites]],4,FALSE)</f>
        <v>46044</v>
      </c>
      <c r="F8" s="17">
        <f>VLOOKUP($J8,Table1[[#All],[course_name]:[epitirites]],5,FALSE)</f>
        <v>0.625</v>
      </c>
      <c r="J8" t="s">
        <v>35</v>
      </c>
    </row>
    <row r="9" spans="1:10" x14ac:dyDescent="0.25">
      <c r="B9" t="s">
        <v>294</v>
      </c>
      <c r="C9">
        <v>2</v>
      </c>
      <c r="D9" t="str">
        <f>VLOOKUP($J9,Table1[[#All],[course_name]:[epitirites]],3,FALSE)</f>
        <v>ΔΕΠ</v>
      </c>
      <c r="E9" s="16">
        <f>VLOOKUP($J9,Table1[[#All],[course_name]:[epitirites]],4,FALSE)</f>
        <v>46043</v>
      </c>
      <c r="F9" s="17">
        <f>VLOOKUP($J9,Table1[[#All],[course_name]:[epitirites]],5,FALSE)</f>
        <v>0.375</v>
      </c>
      <c r="J9" t="s">
        <v>217</v>
      </c>
    </row>
    <row r="10" spans="1:10" x14ac:dyDescent="0.25">
      <c r="B10" t="s">
        <v>295</v>
      </c>
      <c r="C10">
        <v>2</v>
      </c>
      <c r="D10" t="str">
        <f>VLOOKUP($J10,Table1[[#All],[course_name]:[epitirites]],3,FALSE)</f>
        <v>Βοζίκης</v>
      </c>
      <c r="E10" s="16">
        <f>VLOOKUP($J10,Table1[[#All],[course_name]:[epitirites]],4,FALSE)</f>
        <v>46055</v>
      </c>
      <c r="F10" s="17">
        <f>VLOOKUP($J10,Table1[[#All],[course_name]:[epitirites]],5,FALSE)</f>
        <v>0.625</v>
      </c>
      <c r="J10" t="s">
        <v>74</v>
      </c>
    </row>
    <row r="11" spans="1:10" x14ac:dyDescent="0.25">
      <c r="B11" t="s">
        <v>296</v>
      </c>
      <c r="C11">
        <v>2</v>
      </c>
      <c r="D11" t="str">
        <f>VLOOKUP($J11,Table1[[#All],[course_name]:[epitirites]],3,FALSE)</f>
        <v>Κοκκαλά</v>
      </c>
      <c r="E11" s="16">
        <f>VLOOKUP($J11,Table1[[#All],[course_name]:[epitirites]],4,FALSE)</f>
        <v>46055</v>
      </c>
      <c r="F11" s="17">
        <f>VLOOKUP($J11,Table1[[#All],[course_name]:[epitirites]],5,FALSE)</f>
        <v>0.375</v>
      </c>
      <c r="J11" t="s">
        <v>45</v>
      </c>
    </row>
    <row r="12" spans="1:10" x14ac:dyDescent="0.25">
      <c r="B12" t="s">
        <v>63</v>
      </c>
      <c r="C12">
        <v>2</v>
      </c>
      <c r="D12" t="str">
        <f>VLOOKUP($J12,Table1[[#All],[course_name]:[epitirites]],3,FALSE)</f>
        <v>Δροσόπουλος</v>
      </c>
      <c r="E12" s="16">
        <f>VLOOKUP($J12,Table1[[#All],[course_name]:[epitirites]],4,FALSE)</f>
        <v>46063</v>
      </c>
      <c r="F12" s="17">
        <f>VLOOKUP($J12,Table1[[#All],[course_name]:[epitirites]],5,FALSE)</f>
        <v>0.375</v>
      </c>
      <c r="J12" t="s">
        <v>63</v>
      </c>
    </row>
    <row r="13" spans="1:10" x14ac:dyDescent="0.25">
      <c r="B13" t="s">
        <v>297</v>
      </c>
      <c r="C13">
        <v>2</v>
      </c>
      <c r="D13" t="str">
        <f>VLOOKUP($J13,Table1[[#All],[course_name]:[epitirites]],3,FALSE)</f>
        <v>Βλαχονάσιου</v>
      </c>
      <c r="E13" s="16">
        <f>VLOOKUP($J13,Table1[[#All],[course_name]:[epitirites]],4,FALSE)</f>
        <v>46049</v>
      </c>
      <c r="F13" s="17">
        <f>VLOOKUP($J13,Table1[[#All],[course_name]:[epitirites]],5,FALSE)</f>
        <v>0.5</v>
      </c>
      <c r="J13" t="s">
        <v>39</v>
      </c>
    </row>
    <row r="14" spans="1:10" x14ac:dyDescent="0.25">
      <c r="B14" t="s">
        <v>298</v>
      </c>
      <c r="C14">
        <v>2</v>
      </c>
      <c r="D14" t="str">
        <f>VLOOKUP($J14,Table1[[#All],[course_name]:[epitirites]],3,FALSE)</f>
        <v>Φαναραδέλλη</v>
      </c>
      <c r="E14" s="16">
        <f>VLOOKUP($J14,Table1[[#All],[course_name]:[epitirites]],4,FALSE)</f>
        <v>46050</v>
      </c>
      <c r="F14" s="17">
        <f>VLOOKUP($J14,Table1[[#All],[course_name]:[epitirites]],5,FALSE)</f>
        <v>0.5</v>
      </c>
      <c r="J14" t="s">
        <v>24</v>
      </c>
    </row>
    <row r="15" spans="1:10" x14ac:dyDescent="0.25">
      <c r="B15" t="s">
        <v>84</v>
      </c>
      <c r="C15">
        <v>3</v>
      </c>
      <c r="D15" t="str">
        <f>VLOOKUP($J15,Table1[[#All],[course_name]:[epitirites]],3,FALSE)</f>
        <v>Γαλάνης</v>
      </c>
      <c r="E15" s="16">
        <f>VLOOKUP($J15,Table1[[#All],[course_name]:[epitirites]],4,FALSE)</f>
        <v>46042</v>
      </c>
      <c r="F15" s="17">
        <f>VLOOKUP($J15,Table1[[#All],[course_name]:[epitirites]],5,FALSE)</f>
        <v>0.75</v>
      </c>
      <c r="J15" t="s">
        <v>84</v>
      </c>
    </row>
    <row r="16" spans="1:10" x14ac:dyDescent="0.25">
      <c r="B16" t="s">
        <v>299</v>
      </c>
      <c r="C16">
        <v>3</v>
      </c>
      <c r="D16" t="str">
        <f>VLOOKUP($J16,Table1[[#All],[course_name]:[epitirites]],3,FALSE)</f>
        <v>Κολιόπουλος</v>
      </c>
      <c r="E16" s="16">
        <f>VLOOKUP($J16,Table1[[#All],[course_name]:[epitirites]],4,FALSE)</f>
        <v>46058</v>
      </c>
      <c r="F16" s="17">
        <f>VLOOKUP($J16,Table1[[#All],[course_name]:[epitirites]],5,FALSE)</f>
        <v>0.375</v>
      </c>
      <c r="J16" t="s">
        <v>68</v>
      </c>
    </row>
    <row r="17" spans="2:10" x14ac:dyDescent="0.25">
      <c r="B17" t="s">
        <v>79</v>
      </c>
      <c r="C17">
        <v>3</v>
      </c>
      <c r="D17" t="str">
        <f>VLOOKUP($J17,Table1[[#All],[course_name]:[epitirites]],3,FALSE)</f>
        <v>Μιχαηλίδης</v>
      </c>
      <c r="E17" s="16">
        <f>VLOOKUP($J17,Table1[[#All],[course_name]:[epitirites]],4,FALSE)</f>
        <v>46051</v>
      </c>
      <c r="F17" s="17">
        <f>VLOOKUP($J17,Table1[[#All],[course_name]:[epitirites]],5,FALSE)</f>
        <v>0.375</v>
      </c>
      <c r="J17" t="s">
        <v>79</v>
      </c>
    </row>
    <row r="18" spans="2:10" x14ac:dyDescent="0.25">
      <c r="B18" t="s">
        <v>301</v>
      </c>
      <c r="C18">
        <v>3</v>
      </c>
      <c r="D18" t="str">
        <f>VLOOKUP($J18,Table1[[#All],[course_name]:[epitirites]],3,FALSE)</f>
        <v>Σαφούρη</v>
      </c>
      <c r="E18" s="16">
        <f>VLOOKUP($J18,Table1[[#All],[course_name]:[epitirites]],4,FALSE)</f>
        <v>46059</v>
      </c>
      <c r="F18" s="17">
        <f>VLOOKUP($J18,Table1[[#All],[course_name]:[epitirites]],5,FALSE)</f>
        <v>0.375</v>
      </c>
      <c r="J18" t="s">
        <v>54</v>
      </c>
    </row>
    <row r="19" spans="2:10" x14ac:dyDescent="0.25">
      <c r="B19" t="s">
        <v>302</v>
      </c>
      <c r="C19">
        <v>3</v>
      </c>
      <c r="D19" s="15" t="s">
        <v>82</v>
      </c>
      <c r="E19" s="18">
        <v>46045</v>
      </c>
      <c r="F19" s="19">
        <v>0.625</v>
      </c>
    </row>
    <row r="20" spans="2:10" x14ac:dyDescent="0.25">
      <c r="B20" t="s">
        <v>303</v>
      </c>
      <c r="C20">
        <v>4</v>
      </c>
      <c r="D20" t="str">
        <f>VLOOKUP($J20,Table1[[#All],[course_name]:[epitirites]],3,FALSE)</f>
        <v>Κολιόπουλος</v>
      </c>
      <c r="E20" s="16">
        <f>VLOOKUP($J20,Table1[[#All],[course_name]:[epitirites]],4,FALSE)</f>
        <v>46056</v>
      </c>
      <c r="F20" s="17">
        <f>VLOOKUP($J20,Table1[[#All],[course_name]:[epitirites]],5,FALSE)</f>
        <v>0.375</v>
      </c>
      <c r="J20" t="s">
        <v>86</v>
      </c>
    </row>
    <row r="21" spans="2:10" x14ac:dyDescent="0.25">
      <c r="B21" t="s">
        <v>300</v>
      </c>
      <c r="C21">
        <v>4</v>
      </c>
      <c r="D21" t="str">
        <f>VLOOKUP($J21,Table1[[#All],[course_name]:[epitirites]],3,FALSE)</f>
        <v>Παναγόπουλος</v>
      </c>
      <c r="E21" s="16">
        <f>VLOOKUP($J21,Table1[[#All],[course_name]:[epitirites]],4,FALSE)</f>
        <v>46048</v>
      </c>
      <c r="F21" s="17">
        <f>VLOOKUP($J21,Table1[[#All],[course_name]:[epitirites]],5,FALSE)</f>
        <v>0.625</v>
      </c>
      <c r="J21" t="s">
        <v>76</v>
      </c>
    </row>
    <row r="22" spans="2:10" x14ac:dyDescent="0.25">
      <c r="B22" t="s">
        <v>304</v>
      </c>
      <c r="C22">
        <v>4</v>
      </c>
      <c r="D22" t="str">
        <f>VLOOKUP($J22,Table1[[#All],[course_name]:[epitirites]],3,FALSE)</f>
        <v>Κίρτας</v>
      </c>
      <c r="E22" s="16">
        <f>VLOOKUP($J22,Table1[[#All],[course_name]:[epitirites]],4,FALSE)</f>
        <v>46041</v>
      </c>
      <c r="F22" s="17">
        <f>VLOOKUP($J22,Table1[[#All],[course_name]:[epitirites]],5,FALSE)</f>
        <v>0.625</v>
      </c>
      <c r="J22" t="s">
        <v>71</v>
      </c>
    </row>
    <row r="23" spans="2:10" x14ac:dyDescent="0.25">
      <c r="B23" t="s">
        <v>305</v>
      </c>
      <c r="C23">
        <v>4</v>
      </c>
      <c r="D23" t="str">
        <f>VLOOKUP($J23,Table1[[#All],[course_name]:[epitirites]],3,FALSE)</f>
        <v>Μιχαηλίδης</v>
      </c>
      <c r="E23" s="16">
        <f>VLOOKUP($J23,Table1[[#All],[course_name]:[epitirites]],4,FALSE)</f>
        <v>46057</v>
      </c>
      <c r="F23" s="17">
        <f>VLOOKUP($J23,Table1[[#All],[course_name]:[epitirites]],5,FALSE)</f>
        <v>0.375</v>
      </c>
      <c r="J23" t="s">
        <v>105</v>
      </c>
    </row>
    <row r="24" spans="2:10" x14ac:dyDescent="0.25">
      <c r="B24" t="s">
        <v>306</v>
      </c>
      <c r="C24">
        <v>4</v>
      </c>
      <c r="D24" s="15" t="s">
        <v>22</v>
      </c>
      <c r="E24" s="18">
        <v>46049</v>
      </c>
      <c r="F24" s="19">
        <v>0.375</v>
      </c>
    </row>
    <row r="25" spans="2:10" x14ac:dyDescent="0.25">
      <c r="B25" t="s">
        <v>307</v>
      </c>
      <c r="C25">
        <v>4</v>
      </c>
      <c r="D25" t="str">
        <f>VLOOKUP($J25,Table1[[#All],[course_name]:[epitirites]],3,FALSE)</f>
        <v>Γαλάνης</v>
      </c>
      <c r="E25" s="16">
        <f>VLOOKUP($J25,Table1[[#All],[course_name]:[epitirites]],4,FALSE)</f>
        <v>46043</v>
      </c>
      <c r="F25" s="17">
        <f>VLOOKUP($J25,Table1[[#All],[course_name]:[epitirites]],5,FALSE)</f>
        <v>0.625</v>
      </c>
      <c r="I25" t="s">
        <v>324</v>
      </c>
      <c r="J25" t="s">
        <v>238</v>
      </c>
    </row>
    <row r="26" spans="2:10" x14ac:dyDescent="0.25">
      <c r="B26" t="s">
        <v>308</v>
      </c>
      <c r="C26">
        <v>5</v>
      </c>
      <c r="D26" t="str">
        <f>VLOOKUP($J26,Table1[[#All],[course_name]:[epitirites]],3,FALSE)</f>
        <v>Κολιόπουλος</v>
      </c>
      <c r="E26" s="16">
        <f>VLOOKUP($J26,Table1[[#All],[course_name]:[epitirites]],4,FALSE)</f>
        <v>46042</v>
      </c>
      <c r="F26" s="17">
        <f>VLOOKUP($J26,Table1[[#All],[course_name]:[epitirites]],5,FALSE)</f>
        <v>0.625</v>
      </c>
      <c r="J26" t="s">
        <v>98</v>
      </c>
    </row>
    <row r="27" spans="2:10" x14ac:dyDescent="0.25">
      <c r="B27" t="s">
        <v>309</v>
      </c>
      <c r="C27">
        <v>5</v>
      </c>
      <c r="D27" t="str">
        <f>VLOOKUP($J27,Table1[[#All],[course_name]:[epitirites]],3,FALSE)</f>
        <v>Παναγόπουλος</v>
      </c>
      <c r="E27" s="16">
        <f>VLOOKUP($J27,Table1[[#All],[course_name]:[epitirites]],4,FALSE)</f>
        <v>46059</v>
      </c>
      <c r="F27" s="17">
        <f>VLOOKUP($J27,Table1[[#All],[course_name]:[epitirites]],5,FALSE)</f>
        <v>0.625</v>
      </c>
      <c r="J27" t="s">
        <v>219</v>
      </c>
    </row>
    <row r="28" spans="2:10" x14ac:dyDescent="0.25">
      <c r="B28" t="s">
        <v>91</v>
      </c>
      <c r="C28">
        <v>5</v>
      </c>
      <c r="D28" t="str">
        <f>VLOOKUP($J28,Table1[[#All],[course_name]:[epitirites]],3,FALSE)</f>
        <v>Καζαντζή</v>
      </c>
      <c r="E28" s="16">
        <f>VLOOKUP($J28,Table1[[#All],[course_name]:[epitirites]],4,FALSE)</f>
        <v>46051</v>
      </c>
      <c r="F28" s="17">
        <f>VLOOKUP($J28,Table1[[#All],[course_name]:[epitirites]],5,FALSE)</f>
        <v>0.625</v>
      </c>
      <c r="J28" t="s">
        <v>91</v>
      </c>
    </row>
    <row r="29" spans="2:10" x14ac:dyDescent="0.25">
      <c r="B29" t="s">
        <v>94</v>
      </c>
      <c r="C29">
        <v>5</v>
      </c>
      <c r="D29" t="str">
        <f>VLOOKUP($J29,Table1[[#All],[course_name]:[epitirites]],3,FALSE)</f>
        <v>Κίρτας</v>
      </c>
      <c r="E29" s="16">
        <f>VLOOKUP($J29,Table1[[#All],[course_name]:[epitirites]],4,FALSE)</f>
        <v>46045</v>
      </c>
      <c r="F29" s="17">
        <f>VLOOKUP($J29,Table1[[#All],[course_name]:[epitirites]],5,FALSE)</f>
        <v>0.75</v>
      </c>
      <c r="J29" t="s">
        <v>94</v>
      </c>
    </row>
    <row r="30" spans="2:10" x14ac:dyDescent="0.25">
      <c r="B30" t="s">
        <v>310</v>
      </c>
      <c r="C30">
        <v>5</v>
      </c>
      <c r="D30" t="str">
        <f>VLOOKUP($J30,Table1[[#All],[course_name]:[epitirites]],3,FALSE)</f>
        <v>Δανιήλ</v>
      </c>
      <c r="E30" s="16">
        <f>VLOOKUP($J30,Table1[[#All],[course_name]:[epitirites]],4,FALSE)</f>
        <v>46045</v>
      </c>
      <c r="F30" s="17">
        <f>VLOOKUP($J30,Table1[[#All],[course_name]:[epitirites]],5,FALSE)</f>
        <v>0.5</v>
      </c>
      <c r="J30" t="s">
        <v>218</v>
      </c>
    </row>
    <row r="31" spans="2:10" x14ac:dyDescent="0.25">
      <c r="B31" t="s">
        <v>312</v>
      </c>
      <c r="C31">
        <v>6</v>
      </c>
      <c r="D31" t="str">
        <f>VLOOKUP($J31,Table1[[#All],[course_name]:[epitirites]],3,FALSE)</f>
        <v>Λιαλιαμπής</v>
      </c>
      <c r="E31" s="16">
        <f>VLOOKUP($J31,Table1[[#All],[course_name]:[epitirites]],4,FALSE)</f>
        <v>46049</v>
      </c>
      <c r="F31" s="17">
        <f>VLOOKUP($J31,Table1[[#All],[course_name]:[epitirites]],5,FALSE)</f>
        <v>0.625</v>
      </c>
      <c r="J31" t="s">
        <v>220</v>
      </c>
    </row>
    <row r="32" spans="2:10" x14ac:dyDescent="0.25">
      <c r="B32" t="s">
        <v>313</v>
      </c>
      <c r="C32">
        <v>6</v>
      </c>
      <c r="D32" t="str">
        <f>VLOOKUP($J32,Table1[[#All],[course_name]:[epitirites]],3,FALSE)</f>
        <v>Αναστασιάδης</v>
      </c>
      <c r="E32" s="16">
        <f>VLOOKUP($J32,Table1[[#All],[course_name]:[epitirites]],4,FALSE)</f>
        <v>46048</v>
      </c>
      <c r="F32" s="17">
        <f>VLOOKUP($J32,Table1[[#All],[course_name]:[epitirites]],5,FALSE)</f>
        <v>0.75</v>
      </c>
      <c r="J32" t="s">
        <v>143</v>
      </c>
    </row>
    <row r="33" spans="2:10" x14ac:dyDescent="0.25">
      <c r="B33" t="s">
        <v>314</v>
      </c>
      <c r="C33">
        <v>6</v>
      </c>
      <c r="D33" t="str">
        <f>VLOOKUP($J33,Table1[[#All],[course_name]:[epitirites]],3,FALSE)</f>
        <v>Δανιήλ</v>
      </c>
      <c r="E33" s="16">
        <f>VLOOKUP($J33,Table1[[#All],[course_name]:[epitirites]],4,FALSE)</f>
        <v>46059</v>
      </c>
      <c r="F33" s="17">
        <f>VLOOKUP($J33,Table1[[#All],[course_name]:[epitirites]],5,FALSE)</f>
        <v>0.5</v>
      </c>
      <c r="J33" t="s">
        <v>150</v>
      </c>
    </row>
    <row r="34" spans="2:10" x14ac:dyDescent="0.25">
      <c r="B34" t="s">
        <v>190</v>
      </c>
      <c r="C34">
        <v>6</v>
      </c>
      <c r="D34" t="str">
        <f>VLOOKUP($J34,Table1[[#All],[course_name]:[epitirites]],3,FALSE)</f>
        <v>Δανιήλ</v>
      </c>
      <c r="E34" s="16">
        <f>VLOOKUP($J34,Table1[[#All],[course_name]:[epitirites]],4,FALSE)</f>
        <v>46063</v>
      </c>
      <c r="F34" s="17">
        <f>VLOOKUP($J34,Table1[[#All],[course_name]:[epitirites]],5,FALSE)</f>
        <v>0.5</v>
      </c>
      <c r="J34" t="s">
        <v>190</v>
      </c>
    </row>
    <row r="35" spans="2:10" x14ac:dyDescent="0.25">
      <c r="B35" t="s">
        <v>315</v>
      </c>
      <c r="C35">
        <v>6</v>
      </c>
      <c r="D35" t="str">
        <f>VLOOKUP($J35,Table1[[#All],[course_name]:[epitirites]],3,FALSE)</f>
        <v>Καζαντζή</v>
      </c>
      <c r="E35" s="16">
        <f>VLOOKUP($J35,Table1[[#All],[course_name]:[epitirites]],4,FALSE)</f>
        <v>46057</v>
      </c>
      <c r="F35" s="17">
        <f>VLOOKUP($J35,Table1[[#All],[course_name]:[epitirites]],5,FALSE)</f>
        <v>0.625</v>
      </c>
      <c r="J35" t="s">
        <v>221</v>
      </c>
    </row>
    <row r="36" spans="2:10" x14ac:dyDescent="0.25">
      <c r="B36" t="s">
        <v>316</v>
      </c>
      <c r="C36">
        <v>6</v>
      </c>
      <c r="D36" t="str">
        <f>VLOOKUP($J36,Table1[[#All],[course_name]:[epitirites]],3,FALSE)</f>
        <v>Κίρτας</v>
      </c>
      <c r="E36" s="16">
        <f>VLOOKUP($J36,Table1[[#All],[course_name]:[epitirites]],4,FALSE)</f>
        <v>46064</v>
      </c>
      <c r="F36" s="17">
        <f>VLOOKUP($J36,Table1[[#All],[course_name]:[epitirites]],5,FALSE)</f>
        <v>0.625</v>
      </c>
      <c r="J36" t="s">
        <v>147</v>
      </c>
    </row>
    <row r="37" spans="2:10" x14ac:dyDescent="0.25">
      <c r="B37" t="s">
        <v>96</v>
      </c>
      <c r="C37">
        <v>6</v>
      </c>
      <c r="D37" t="str">
        <f>VLOOKUP($J37,Table1[[#All],[course_name]:[epitirites]],3,FALSE)</f>
        <v>Γαλάνης</v>
      </c>
      <c r="E37" s="16">
        <f>VLOOKUP($J37,Table1[[#All],[course_name]:[epitirites]],4,FALSE)</f>
        <v>46063</v>
      </c>
      <c r="F37" s="17">
        <f>VLOOKUP($J37,Table1[[#All],[course_name]:[epitirites]],5,FALSE)</f>
        <v>0.75</v>
      </c>
      <c r="J37" t="s">
        <v>96</v>
      </c>
    </row>
    <row r="38" spans="2:10" x14ac:dyDescent="0.25">
      <c r="B38" t="s">
        <v>317</v>
      </c>
      <c r="C38">
        <v>7</v>
      </c>
      <c r="D38" t="str">
        <f>VLOOKUP($J38,Table1[[#All],[course_name]:[epitirites]],3,FALSE)</f>
        <v>Λιαλιαμπής</v>
      </c>
      <c r="E38" s="16">
        <f>VLOOKUP($J38,Table1[[#All],[course_name]:[epitirites]],4,FALSE)</f>
        <v>46056</v>
      </c>
      <c r="F38" s="17">
        <f>VLOOKUP($J38,Table1[[#All],[course_name]:[epitirites]],5,FALSE)</f>
        <v>0.625</v>
      </c>
      <c r="J38" t="s">
        <v>183</v>
      </c>
    </row>
    <row r="39" spans="2:10" x14ac:dyDescent="0.25">
      <c r="B39" t="s">
        <v>318</v>
      </c>
      <c r="C39">
        <v>7</v>
      </c>
      <c r="D39" t="str">
        <f>VLOOKUP($J39,Table1[[#All],[course_name]:[epitirites]],3,FALSE)</f>
        <v>ΔΕΠ</v>
      </c>
      <c r="E39" s="16">
        <f>VLOOKUP($J39,Table1[[#All],[course_name]:[epitirites]],4,FALSE)</f>
        <v>46058</v>
      </c>
      <c r="F39" s="17">
        <f>VLOOKUP($J39,Table1[[#All],[course_name]:[epitirites]],5,FALSE)</f>
        <v>0.75</v>
      </c>
      <c r="J39" t="s">
        <v>226</v>
      </c>
    </row>
    <row r="40" spans="2:10" x14ac:dyDescent="0.25">
      <c r="B40" t="s">
        <v>192</v>
      </c>
      <c r="C40">
        <v>7</v>
      </c>
      <c r="D40" s="15" t="s">
        <v>82</v>
      </c>
      <c r="E40" s="18">
        <v>46063</v>
      </c>
      <c r="F40" s="19">
        <v>0.625</v>
      </c>
      <c r="J40" t="s">
        <v>192</v>
      </c>
    </row>
    <row r="41" spans="2:10" x14ac:dyDescent="0.25">
      <c r="B41" t="s">
        <v>319</v>
      </c>
      <c r="C41">
        <v>7</v>
      </c>
      <c r="D41" t="str">
        <f>VLOOKUP($J41,Table1[[#All],[course_name]:[epitirites]],3,FALSE)</f>
        <v>Βλαχονάσιου</v>
      </c>
      <c r="E41" s="16">
        <f>VLOOKUP($J41,Table1[[#All],[course_name]:[epitirites]],4,FALSE)</f>
        <v>46042</v>
      </c>
      <c r="F41" s="17">
        <f>VLOOKUP($J41,Table1[[#All],[course_name]:[epitirites]],5,FALSE)</f>
        <v>0.5</v>
      </c>
      <c r="J41" t="s">
        <v>228</v>
      </c>
    </row>
    <row r="42" spans="2:10" x14ac:dyDescent="0.25">
      <c r="B42" t="s">
        <v>320</v>
      </c>
      <c r="C42">
        <v>7</v>
      </c>
      <c r="D42" t="str">
        <f>VLOOKUP($J42,Table1[[#All],[course_name]:[epitirites]],3,FALSE)</f>
        <v>Παναγόπουλος</v>
      </c>
      <c r="E42" s="16">
        <f>VLOOKUP($J42,Table1[[#All],[course_name]:[epitirites]],4,FALSE)</f>
        <v>46064</v>
      </c>
      <c r="F42" s="17">
        <f>VLOOKUP($J42,Table1[[#All],[course_name]:[epitirites]],5,FALSE)</f>
        <v>0.75</v>
      </c>
      <c r="J42" t="s">
        <v>185</v>
      </c>
    </row>
    <row r="43" spans="2:10" x14ac:dyDescent="0.25">
      <c r="B43" t="s">
        <v>321</v>
      </c>
      <c r="C43">
        <v>7</v>
      </c>
      <c r="D43" t="str">
        <f>VLOOKUP($J43,Table1[[#All],[course_name]:[epitirites]],3,FALSE)</f>
        <v>Γαλάνης</v>
      </c>
      <c r="E43" s="16">
        <f>VLOOKUP($J43,Table1[[#All],[course_name]:[epitirites]],4,FALSE)</f>
        <v>46044</v>
      </c>
      <c r="F43" s="17">
        <f>VLOOKUP($J43,Table1[[#All],[course_name]:[epitirites]],5,FALSE)</f>
        <v>0.75</v>
      </c>
      <c r="J43" t="s">
        <v>166</v>
      </c>
    </row>
    <row r="44" spans="2:10" x14ac:dyDescent="0.25">
      <c r="B44" t="s">
        <v>322</v>
      </c>
      <c r="C44">
        <v>7</v>
      </c>
      <c r="D44" t="str">
        <f>VLOOKUP($J44,Table1[[#All],[course_name]:[epitirites]],3,FALSE)</f>
        <v>Τσοχατζίδης</v>
      </c>
      <c r="E44" s="16">
        <f>VLOOKUP($J44,Table1[[#All],[course_name]:[epitirites]],4,FALSE)</f>
        <v>46051</v>
      </c>
      <c r="F44" s="17">
        <f>VLOOKUP($J44,Table1[[#All],[course_name]:[epitirites]],5,FALSE)</f>
        <v>0.75</v>
      </c>
      <c r="J44" t="s">
        <v>51</v>
      </c>
    </row>
    <row r="45" spans="2:10" x14ac:dyDescent="0.25">
      <c r="B45" t="s">
        <v>323</v>
      </c>
      <c r="C45">
        <v>7</v>
      </c>
      <c r="D45" s="15" t="s">
        <v>22</v>
      </c>
      <c r="E45" s="18">
        <v>46049</v>
      </c>
      <c r="F45" s="19">
        <v>0.375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J2:J45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10" t="s">
        <v>10</v>
      </c>
      <c r="B1" s="10">
        <v>1</v>
      </c>
    </row>
    <row r="2" spans="1:2" x14ac:dyDescent="0.25">
      <c r="A2" s="11" t="s">
        <v>13</v>
      </c>
      <c r="B2" s="11">
        <v>1</v>
      </c>
    </row>
    <row r="3" spans="1:2" x14ac:dyDescent="0.25">
      <c r="A3" s="10" t="s">
        <v>15</v>
      </c>
      <c r="B3" s="10">
        <v>1</v>
      </c>
    </row>
    <row r="4" spans="1:2" x14ac:dyDescent="0.25">
      <c r="A4" s="11" t="s">
        <v>18</v>
      </c>
      <c r="B4" s="11">
        <v>1</v>
      </c>
    </row>
    <row r="5" spans="1:2" x14ac:dyDescent="0.25">
      <c r="A5" s="10" t="s">
        <v>21</v>
      </c>
      <c r="B5" s="10">
        <v>1</v>
      </c>
    </row>
    <row r="6" spans="1:2" x14ac:dyDescent="0.25">
      <c r="A6" s="11" t="s">
        <v>24</v>
      </c>
      <c r="B6" s="11">
        <v>1</v>
      </c>
    </row>
    <row r="7" spans="1:2" x14ac:dyDescent="0.25">
      <c r="A7" s="10" t="s">
        <v>27</v>
      </c>
      <c r="B7" s="10">
        <v>1</v>
      </c>
    </row>
    <row r="8" spans="1:2" x14ac:dyDescent="0.25">
      <c r="A8" s="11" t="s">
        <v>29</v>
      </c>
      <c r="B8" s="11">
        <v>2</v>
      </c>
    </row>
    <row r="9" spans="1:2" x14ac:dyDescent="0.25">
      <c r="A9" s="10" t="s">
        <v>32</v>
      </c>
      <c r="B9" s="10">
        <v>2</v>
      </c>
    </row>
    <row r="10" spans="1:2" x14ac:dyDescent="0.25">
      <c r="A10" s="11" t="s">
        <v>35</v>
      </c>
      <c r="B10" s="11">
        <v>2</v>
      </c>
    </row>
    <row r="11" spans="1:2" x14ac:dyDescent="0.25">
      <c r="A11" s="10" t="s">
        <v>37</v>
      </c>
      <c r="B11" s="10">
        <v>2</v>
      </c>
    </row>
    <row r="12" spans="1:2" x14ac:dyDescent="0.25">
      <c r="A12" s="11" t="s">
        <v>39</v>
      </c>
      <c r="B12" s="11">
        <v>2</v>
      </c>
    </row>
    <row r="13" spans="1:2" x14ac:dyDescent="0.25">
      <c r="A13" s="10" t="s">
        <v>217</v>
      </c>
      <c r="B13" s="10">
        <v>2</v>
      </c>
    </row>
    <row r="14" spans="1:2" x14ac:dyDescent="0.25">
      <c r="A14" s="11" t="s">
        <v>43</v>
      </c>
      <c r="B14" s="11">
        <v>2</v>
      </c>
    </row>
    <row r="15" spans="1:2" x14ac:dyDescent="0.25">
      <c r="A15" s="10" t="s">
        <v>45</v>
      </c>
      <c r="B15" s="10">
        <v>3</v>
      </c>
    </row>
    <row r="16" spans="1:2" x14ac:dyDescent="0.25">
      <c r="A16" s="11" t="s">
        <v>48</v>
      </c>
      <c r="B16" s="11">
        <v>3</v>
      </c>
    </row>
    <row r="17" spans="1:2" x14ac:dyDescent="0.25">
      <c r="A17" s="10" t="s">
        <v>51</v>
      </c>
      <c r="B17" s="10">
        <v>3</v>
      </c>
    </row>
    <row r="18" spans="1:2" x14ac:dyDescent="0.25">
      <c r="A18" s="11" t="s">
        <v>54</v>
      </c>
      <c r="B18" s="11">
        <v>3</v>
      </c>
    </row>
    <row r="19" spans="1:2" x14ac:dyDescent="0.25">
      <c r="A19" s="10" t="s">
        <v>56</v>
      </c>
      <c r="B19" s="10">
        <v>3</v>
      </c>
    </row>
    <row r="20" spans="1:2" x14ac:dyDescent="0.25">
      <c r="A20" s="11" t="s">
        <v>58</v>
      </c>
      <c r="B20" s="11">
        <v>3</v>
      </c>
    </row>
    <row r="21" spans="1:2" x14ac:dyDescent="0.25">
      <c r="A21" s="10" t="s">
        <v>60</v>
      </c>
      <c r="B21" s="10">
        <v>3</v>
      </c>
    </row>
    <row r="22" spans="1:2" x14ac:dyDescent="0.25">
      <c r="A22" s="11" t="s">
        <v>63</v>
      </c>
      <c r="B22" s="11">
        <v>4</v>
      </c>
    </row>
    <row r="23" spans="1:2" x14ac:dyDescent="0.25">
      <c r="A23" s="10" t="s">
        <v>65</v>
      </c>
      <c r="B23" s="10">
        <v>4</v>
      </c>
    </row>
    <row r="24" spans="1:2" x14ac:dyDescent="0.25">
      <c r="A24" s="11" t="s">
        <v>68</v>
      </c>
      <c r="B24" s="11">
        <v>4</v>
      </c>
    </row>
    <row r="25" spans="1:2" x14ac:dyDescent="0.25">
      <c r="A25" s="10" t="s">
        <v>71</v>
      </c>
      <c r="B25" s="10">
        <v>4</v>
      </c>
    </row>
    <row r="26" spans="1:2" x14ac:dyDescent="0.25">
      <c r="A26" s="11" t="s">
        <v>74</v>
      </c>
      <c r="B26" s="11">
        <v>4</v>
      </c>
    </row>
    <row r="27" spans="1:2" x14ac:dyDescent="0.25">
      <c r="A27" s="10" t="s">
        <v>76</v>
      </c>
      <c r="B27" s="10">
        <v>4</v>
      </c>
    </row>
    <row r="28" spans="1:2" x14ac:dyDescent="0.25">
      <c r="A28" s="11" t="s">
        <v>79</v>
      </c>
      <c r="B28" s="11">
        <v>5</v>
      </c>
    </row>
    <row r="29" spans="1:2" x14ac:dyDescent="0.25">
      <c r="A29" s="10" t="s">
        <v>218</v>
      </c>
      <c r="B29" s="10">
        <v>5</v>
      </c>
    </row>
    <row r="30" spans="1:2" x14ac:dyDescent="0.25">
      <c r="A30" s="11" t="s">
        <v>84</v>
      </c>
      <c r="B30" s="11">
        <v>5</v>
      </c>
    </row>
    <row r="31" spans="1:2" x14ac:dyDescent="0.25">
      <c r="A31" s="10" t="s">
        <v>86</v>
      </c>
      <c r="B31" s="10">
        <v>5</v>
      </c>
    </row>
    <row r="32" spans="1:2" x14ac:dyDescent="0.25">
      <c r="A32" s="11" t="s">
        <v>219</v>
      </c>
      <c r="B32" s="11">
        <v>5</v>
      </c>
    </row>
    <row r="33" spans="1:3" x14ac:dyDescent="0.25">
      <c r="A33" s="10" t="s">
        <v>89</v>
      </c>
      <c r="B33" s="10">
        <v>5</v>
      </c>
    </row>
    <row r="34" spans="1:3" x14ac:dyDescent="0.25">
      <c r="A34" s="11" t="s">
        <v>91</v>
      </c>
      <c r="B34" s="11">
        <v>6</v>
      </c>
    </row>
    <row r="35" spans="1:3" x14ac:dyDescent="0.25">
      <c r="A35" s="10" t="s">
        <v>94</v>
      </c>
      <c r="B35" s="10">
        <v>6</v>
      </c>
    </row>
    <row r="36" spans="1:3" x14ac:dyDescent="0.25">
      <c r="A36" s="11" t="s">
        <v>96</v>
      </c>
      <c r="B36" s="11">
        <v>6</v>
      </c>
    </row>
    <row r="37" spans="1:3" x14ac:dyDescent="0.25">
      <c r="A37" s="10" t="s">
        <v>98</v>
      </c>
      <c r="B37" s="10">
        <v>6</v>
      </c>
    </row>
    <row r="38" spans="1:3" x14ac:dyDescent="0.25">
      <c r="A38" s="11" t="s">
        <v>220</v>
      </c>
      <c r="B38" s="11">
        <v>6</v>
      </c>
    </row>
    <row r="39" spans="1:3" x14ac:dyDescent="0.25">
      <c r="A39" s="10" t="s">
        <v>102</v>
      </c>
      <c r="B39" s="10">
        <v>6</v>
      </c>
    </row>
    <row r="40" spans="1:3" x14ac:dyDescent="0.25">
      <c r="A40" s="11" t="s">
        <v>105</v>
      </c>
      <c r="B40" s="11">
        <v>6</v>
      </c>
    </row>
    <row r="41" spans="1:3" x14ac:dyDescent="0.25">
      <c r="A41" s="10" t="s">
        <v>221</v>
      </c>
      <c r="B41" s="10">
        <v>7</v>
      </c>
    </row>
    <row r="42" spans="1:3" x14ac:dyDescent="0.25">
      <c r="A42" s="11" t="s">
        <v>108</v>
      </c>
      <c r="B42" s="11">
        <v>7</v>
      </c>
    </row>
    <row r="43" spans="1:3" x14ac:dyDescent="0.25">
      <c r="A43" s="13" t="s">
        <v>246</v>
      </c>
      <c r="B43" s="13">
        <v>7</v>
      </c>
      <c r="C43" s="11" t="s">
        <v>253</v>
      </c>
    </row>
    <row r="44" spans="1:3" x14ac:dyDescent="0.25">
      <c r="A44" s="10" t="s">
        <v>256</v>
      </c>
      <c r="B44" s="10">
        <v>7</v>
      </c>
      <c r="C44" s="12" t="s">
        <v>251</v>
      </c>
    </row>
    <row r="45" spans="1:3" x14ac:dyDescent="0.25">
      <c r="A45" s="12" t="s">
        <v>257</v>
      </c>
      <c r="B45" s="12">
        <v>7</v>
      </c>
      <c r="C45" s="12" t="s">
        <v>280</v>
      </c>
    </row>
    <row r="46" spans="1:3" x14ac:dyDescent="0.25">
      <c r="A46" s="10" t="s">
        <v>247</v>
      </c>
      <c r="B46" s="10">
        <v>7</v>
      </c>
    </row>
    <row r="47" spans="1:3" x14ac:dyDescent="0.25">
      <c r="A47" s="12" t="s">
        <v>248</v>
      </c>
      <c r="B47" s="12">
        <v>7</v>
      </c>
      <c r="C47" s="13" t="s">
        <v>252</v>
      </c>
    </row>
    <row r="48" spans="1:3" x14ac:dyDescent="0.25">
      <c r="A48" s="12" t="s">
        <v>255</v>
      </c>
      <c r="B48" s="13">
        <v>7</v>
      </c>
      <c r="C48" s="12" t="s">
        <v>276</v>
      </c>
    </row>
    <row r="49" spans="1:4" x14ac:dyDescent="0.25">
      <c r="A49" s="10" t="s">
        <v>250</v>
      </c>
      <c r="B49" s="10">
        <v>7</v>
      </c>
    </row>
    <row r="50" spans="1:4" x14ac:dyDescent="0.25">
      <c r="A50" s="13" t="s">
        <v>254</v>
      </c>
      <c r="B50" s="13">
        <v>7</v>
      </c>
    </row>
    <row r="51" spans="1:4" x14ac:dyDescent="0.25">
      <c r="A51" s="10" t="s">
        <v>225</v>
      </c>
      <c r="B51" s="10">
        <v>8</v>
      </c>
    </row>
    <row r="52" spans="1:4" x14ac:dyDescent="0.25">
      <c r="A52" s="11" t="s">
        <v>143</v>
      </c>
      <c r="B52" s="11">
        <v>8</v>
      </c>
    </row>
    <row r="53" spans="1:4" x14ac:dyDescent="0.25">
      <c r="A53" s="10" t="s">
        <v>226</v>
      </c>
      <c r="B53" s="10">
        <v>8</v>
      </c>
    </row>
    <row r="54" spans="1:4" x14ac:dyDescent="0.25">
      <c r="A54" s="11" t="s">
        <v>261</v>
      </c>
      <c r="B54" s="11">
        <v>8</v>
      </c>
    </row>
    <row r="55" spans="1:4" x14ac:dyDescent="0.25">
      <c r="A55" s="13" t="s">
        <v>262</v>
      </c>
      <c r="B55" s="13">
        <v>8</v>
      </c>
      <c r="C55" s="13" t="s">
        <v>273</v>
      </c>
      <c r="D55" s="12" t="s">
        <v>268</v>
      </c>
    </row>
    <row r="56" spans="1:4" x14ac:dyDescent="0.25">
      <c r="A56" s="12" t="s">
        <v>263</v>
      </c>
      <c r="B56" s="12">
        <v>8</v>
      </c>
      <c r="C56" s="12" t="s">
        <v>270</v>
      </c>
      <c r="D56" s="12" t="s">
        <v>272</v>
      </c>
    </row>
    <row r="57" spans="1:4" x14ac:dyDescent="0.25">
      <c r="A57" s="12" t="s">
        <v>264</v>
      </c>
      <c r="B57" s="12">
        <v>8</v>
      </c>
      <c r="C57" s="12" t="s">
        <v>265</v>
      </c>
      <c r="D57" s="13" t="s">
        <v>269</v>
      </c>
    </row>
    <row r="58" spans="1:4" x14ac:dyDescent="0.25">
      <c r="A58" s="10" t="s">
        <v>267</v>
      </c>
      <c r="B58" s="10">
        <v>8</v>
      </c>
    </row>
    <row r="59" spans="1:4" x14ac:dyDescent="0.25">
      <c r="A59" s="12" t="s">
        <v>266</v>
      </c>
      <c r="B59" s="12">
        <v>8</v>
      </c>
      <c r="C59" s="12" t="s">
        <v>271</v>
      </c>
      <c r="D59" s="11"/>
    </row>
    <row r="60" spans="1:4" x14ac:dyDescent="0.25">
      <c r="A60" s="11" t="s">
        <v>181</v>
      </c>
      <c r="B60" s="11">
        <v>9</v>
      </c>
    </row>
    <row r="61" spans="1:4" x14ac:dyDescent="0.25">
      <c r="A61" s="10" t="s">
        <v>183</v>
      </c>
      <c r="B61" s="10">
        <v>9</v>
      </c>
    </row>
    <row r="62" spans="1:4" x14ac:dyDescent="0.25">
      <c r="A62" s="12" t="s">
        <v>274</v>
      </c>
      <c r="B62" s="12">
        <v>9</v>
      </c>
      <c r="C62" s="13" t="s">
        <v>279</v>
      </c>
    </row>
    <row r="63" spans="1:4" x14ac:dyDescent="0.25">
      <c r="A63" s="10" t="s">
        <v>283</v>
      </c>
      <c r="B63" s="10">
        <v>9</v>
      </c>
      <c r="C63" s="13" t="s">
        <v>249</v>
      </c>
    </row>
    <row r="64" spans="1:4" x14ac:dyDescent="0.25">
      <c r="A64" s="12" t="s">
        <v>275</v>
      </c>
      <c r="B64" s="12">
        <v>9</v>
      </c>
      <c r="C64" s="13" t="s">
        <v>281</v>
      </c>
      <c r="D64" s="12" t="s">
        <v>282</v>
      </c>
    </row>
    <row r="65" spans="1:3" x14ac:dyDescent="0.25">
      <c r="A65" s="10" t="s">
        <v>284</v>
      </c>
      <c r="B65" s="10">
        <v>9</v>
      </c>
      <c r="C65" s="11" t="s">
        <v>278</v>
      </c>
    </row>
    <row r="66" spans="1:3" x14ac:dyDescent="0.25">
      <c r="A66" s="13" t="s">
        <v>277</v>
      </c>
      <c r="B66" s="13">
        <v>9</v>
      </c>
    </row>
    <row r="67" spans="1:3" x14ac:dyDescent="0.25">
      <c r="A67" s="11" t="s">
        <v>285</v>
      </c>
      <c r="B67" s="11">
        <v>9</v>
      </c>
    </row>
    <row r="68" spans="1:3" x14ac:dyDescent="0.25">
      <c r="A68" s="13" t="s">
        <v>286</v>
      </c>
      <c r="B68" s="13">
        <v>9</v>
      </c>
    </row>
    <row r="69" spans="1:3" x14ac:dyDescent="0.25">
      <c r="B69" s="12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2025-12-20T18:37:46Z</dcterms:modified>
</cp:coreProperties>
</file>