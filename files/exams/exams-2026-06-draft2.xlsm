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AB8DC54B-28BD-4B26-B5BF-B69BCE5D88C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<sst xmlns="http://schemas.openxmlformats.org/spreadsheetml/2006/main" count="1178" uniqueCount="523">
  <si>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</si>
  <si>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</si>
  <si>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</si>
  <si>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</si>
  <si>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</si>
  <si>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</si>
  <si>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</si>
  <si>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</si>
  <si>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</si>
  <si>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</si>
  <si>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</si>
  <si>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</si>
  <si>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</si>
  <si>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</si>
  <si>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</si>
  <si>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</si>
  <si>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</si>
  <si>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</si>
  <si>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</si>
  <si>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</si>
  <si>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</si>
  <si>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</si>
  <si>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</si>
  <si>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</si>
  <si>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</si>
  <si>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</si>
  <si>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</si>
  <si>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</si>
  <si>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</si>
  <si>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</si>
  <si>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</si>
  <si>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</si>
  <si>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</si>
  <si>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</si>
  <si>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</si>
  <si>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</si>
  <si>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</si>
  <si>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</si>
  <si>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</si>
  <si>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</si>
  <si>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</si>
  <si>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</si>
  <si>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</si>
  <si>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</si>
  <si>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</si>
  <si>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</si>
  <si>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</si>
  <si>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</si>
  <si>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</si>
  <si>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</si>
  <si>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</si>
  <si>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</si>
  <si>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</si>
  <si>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</si>
  <si>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</si>
  <si>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</si>
  <si>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</si>
  <si>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</si>
  <si>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</si>
  <si>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</si>
  <si>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</si>
  <si>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</si>
  <si>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</si>
  <si>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</si>
  <si>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</si>
  <si>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</si>
  <si>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</si>
  <si>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</si>
  <si>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</si>
  <si>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</si>
  <si>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</si>
  <si>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</si>
  <si>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</si>
  <si>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</si>
  <si>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</si>
  <si>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</si>
  <si>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</si>
  <si>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</si>
  <si>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</si>
  <si>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</si>
  <si>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</si>
  <si>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</si>
  <si>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</si>
  <si>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</si>
  <si>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</si>
  <si>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</si>
  <si>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</si>
  <si>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</si>
  <si>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</si>
  <si>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</si>
  <si>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</si>
  <si>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</si>
  <si>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</si>
  <si>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</si>
  <si>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</si>
  <si>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</si>
  <si>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</si>
  <si>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</si>
  <si>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</si>
  <si>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</si>
  <si>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</si>
  <si>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</si>
  <si>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</si>
  <si>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</si>
  <si>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</si>
  <si>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</si>
  <si>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</si>
  <si>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</si>
  <si>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</si>
  <si>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</si>
  <si>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</si>
  <si>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</si>
  <si>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</si>
  <si>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</si>
  <si>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</si>
  <si>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</si>
  <si>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</si>
  <si>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</si>
  <si>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</si>
  <si>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</si>
  <si>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</si>
  <si>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</si>
  <si>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</si>
  <si>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</si>
  <si>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</si>
  <si>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</si>
  <si>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</si>
  <si>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</si>
  <si>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</si>
  <si>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</si>
  <si>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</si>
  <si>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</si>
  <si>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</si>
  <si>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</si>
  <si>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</si>
  <si>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</si>
  <si>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</si>
  <si>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</si>
  <si>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</si>
  <si>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</si>
  <si>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</si>
  <si>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</si>
  <si>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</si>
  <si>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</si>
  <si>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</si>
  <si>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</si>
  <si>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</si>
  <si>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</si>
  <si>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</si>
  <si>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</si>
  <si>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</si>
  <si>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</si>
  <si>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</si>
  <si>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</si>
  <si>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</si>
  <si>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</si>
  <si>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</si>
  <si>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</si>
  <si>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</si>
  <si>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</si>
  <si>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</si>
  <si>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</si>
  <si>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</si>
  <si>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</si>
  <si>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</si>
  <si>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</si>
  <si>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</si>
  <si>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</si>
  <si>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</si>
  <si>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</si>
  <si>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</si>
  <si>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</si>
  <si>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</si>
  <si>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</si>
  <si>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</si>
  <si>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</si>
  <si>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</si>
  <si>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</si>
  <si>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</si>
  <si>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</si>
  <si>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</si>
  <si>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</si>
  <si>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</si>
  <si>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</si>
  <si>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</si>
  <si>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</si>
  <si>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</si>
  <si>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</si>
  <si>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</si>
  <si>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</si>
  <si>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</si>
  <si>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</si>
  <si>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</si>
  <si>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</si>
  <si>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</si>
  <si>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</si>
  <si>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</si>
  <si>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</si>
  <si>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</si>
  <si>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</si>
  <si>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</si>
  <si>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</si>
  <si>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</si>
  <si>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</si>
  <si>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</si>
  <si>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</si>
  <si>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</si>
  <si>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</si>
  <si>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</si>
  <si>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</si>
  <si>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</si>
  <si>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</si>
  <si>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</si>
  <si>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</si>
  <si>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</si>
  <si>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</si>
  <si>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</si>
  <si>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</si>
  <si>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</si>
  <si>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</si>
  <si>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</si>
  <si>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</si>
  <si>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</si>
  <si>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</si>
  <si>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</si>
  <si>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</si>
  <si>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</si>
  <si>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</si>
  <si>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</si>
  <si>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</si>
  <si>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</si>
  <si>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</si>
  <si>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</si>
  <si>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</si>
  <si>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</si>
  <si>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</si>
  <si>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</si>
  <si>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</si>
  <si>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</si>
  <si>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</si>
  <si>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</si>
  <si>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</si>
  <si>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</si>
  <si>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</si>
  <si>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</si>
  <si>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</si>
  <si>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</si>
  <si>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</si>
  <si>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</si>
  <si>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</si>
  <si>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</si>
  <si>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</si>
  <si>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</si>
  <si>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</si>
  <si>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</si>
  <si>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</si>
  <si>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</si>
  <si>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</si>
  <si>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</si>
  <si>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</si>
  <si>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</si>
  <si>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</si>
  <si>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</si>
  <si>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</si>
  <si>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</si>
  <si>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</si>
  <si>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</si>
  <si>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</si>
  <si>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</si>
  <si>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</si>
  <si>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</si>
  <si>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</si>
  <si>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</si>
  <si>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</si>
  <si>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</si>
  <si>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</si>
  <si>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</si>
  <si>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</si>
  <si>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</si>
  <si>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</si>
  <si>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</si>
  <si>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</si>
  <si>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</si>
  <si>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</si>
  <si>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</si>
  <si>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</si>
  <si>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</si>
  <si>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</si>
  <si>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</si>
  <si>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</si>
  <si>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</si>
  <si>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</si>
  <si>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</si>
  <si>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</si>
  <si>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</si>
  <si>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</si>
  <si>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</si>
  <si>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</si>
  <si>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</si>
  <si>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</si>
  <si>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</si>
  <si>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</si>
  <si>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</si>
  <si>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</si>
  <si>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</si>
  <si>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</si>
  <si>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</si>
  <si>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</si>
  <si>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</si>
  <si>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</si>
  <si>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</si>
  <si>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</si>
  <si>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</si>
  <si>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</si>
  <si>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</si>
  <si>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</si>
  <si>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</si>
  <si>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</si>
  <si>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</si>
  <si>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</si>
  <si>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</si>
  <si>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</si>
  <si>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</si>
  <si>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</si>
  <si>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</si>
  <si>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</si>
  <si>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</si>
  <si>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</si>
  <si>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</si>
  <si>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</si>
  <si>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</si>
  <si>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</si>
  <si>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</si>
  <si>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</si>
  <si>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</si>
  <si>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</si>
  <si>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</si>
  <si>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</si>
  <si>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</si>
  <si>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</si>
  <si>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</si>
  <si>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</si>
  <si>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</si>
  <si>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</si>
  <si>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</si>
  <si>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</si>
  <si>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</si>
  <si>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</si>
  <si>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</si>
  <si>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</si>
  <si>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</si>
  <si>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</si>
  <si>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</si>
  <si>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</si>
  <si>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</si>
  <si>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</si>
  <si>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</si>
  <si>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</si>
  <si>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</si>
  <si>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</si>
  <si>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</si>
  <si>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</si>
  <si>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</si>
  <si>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</si>
  <si>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</si>
  <si>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</si>
  <si>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</si>
  <si>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</si>
  <si>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</si>
  <si>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</si>
  <si>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</si>
  <si>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</si>
  <si>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</si>
  <si>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</si>
  <si>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</si>
  <si>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</si>
  <si>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</si>
  <si>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</si>
  <si>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</si>
  <si>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</si>
  <si>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</si>
  <si>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</si>
  <si>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</si>
  <si>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</si>
  <si>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</si>
  <si>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</si>
  <si>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</si>
  <si>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</si>
  <si>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</si>
  <si>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</si>
  <si>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</si>
  <si>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</si>
  <si>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</si>
  <si>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</si>
  <si>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</si>
  <si>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</si>
  <si>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</si>
  <si>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</si>
  <si>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</si>
  <si>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</si>
  <si>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</si>
  <si>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</si>
  <si>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</si>
  <si>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</si>
  <si>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</si>
  <si>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</si>
  <si>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</si>
  <si>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</si>
  <si>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</si>
  <si>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</si>
  <si>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</si>
  <si>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</si>
  <si>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</si>
  <si>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</si>
  <si>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</si>
  <si>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</si>
  <si>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</si>
  <si>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</si>
  <si>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</si>
  <si>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</si>
  <si>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</si>
  <si>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</si>
  <si>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</si>
  <si>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</si>
  <si>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</si>
  <si>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</si>
  <si>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</si>
  <si>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</si>
  <si>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</si>
  <si>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</si>
  <si>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</si>
  <si>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</si>
  <si>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</si>
  <si>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</si>
  <si>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</si>
  <si>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</si>
  <si>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</si>
  <si>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</si>
  <si>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</si>
  <si>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</si>
  <si>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</si>
  <si>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</si>
  <si>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</si>
  <si>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</si>
  <si>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</si>
  <si>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</si>
  <si>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</si>
  <si>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</si>
  <si>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</si>
  <si>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</si>
  <si>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</si>
  <si>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</si>
  <si>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</si>
  <si>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</si>
  <si>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</si>
  <si>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</si>
  <si>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</si>
  <si>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</si>
  <si>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</si>
  <si>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</si>
  <si>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</si>
  <si>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</si>
  <si>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</si>
  <si>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</si>
  <si>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</si>
  <si>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</si>
  <si>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</si>
  <si>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</si>
  <si>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</si>
  <si>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</si>
  <si>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</si>
  <si>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</si>
  <si>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</si>
  <si>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</si>
  <si>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</si>
  <si>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</si>
  <si>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</si>
  <si>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</si>
  <si>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</si>
  <si>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</si>
  <si>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</si>
  <si>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</si>
  <si>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</si>
  <si>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</si>
  <si>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</si>
  <si>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</si>
  <si>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</si>
  <si>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</si>
  <si>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</si>
  <si>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</si>
  <si>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</si>
  <si>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</si>
  <si>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</si>
  <si>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</si>
  <si>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</si>
  <si>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</si>
  <si>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</si>
  <si>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</si>
  <si>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</si>
  <si>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</si>
  <si>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</si>
  <si>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</si>
  <si>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</si>
  <si>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</si>
  <si>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</si>
  <si>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</si>
  <si>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</si>
  <si>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</si>
  <si>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</si>
  <si>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</si>
  <si>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</si>
  <si>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</si>
  <si>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</si>
  <si>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</si>
  <si>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</si>
  <si>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</si>
  <si>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</si>
  <si>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</si>
  <si>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</si>
  <si>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</si>
  <si>
    <t>Σαπίδης</t>
  </si>
  <si>
    <t>Αυγέρης</t>
  </si>
  <si>
    <t>Μαραγκός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</si>
</sst>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7" workbookViewId="0">
      <selection activeCell="A27" sqref="A2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520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521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522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Normal="100" workbookViewId="0">
      <pane ySplit="1" topLeftCell="A46" activePane="bottomLeft" state="frozen"/>
      <selection pane="bottomLeft" activeCell="L53" sqref="L53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57</v>
      </c>
      <c r="M1" s="22" t="s">
        <v>346</v>
      </c>
      <c r="N1" s="22" t="s">
        <v>501</v>
      </c>
      <c r="X1" s="18" t="s">
        <v>332</v>
      </c>
      <c r="Y1" s="18" t="s">
        <v>333</v>
      </c>
      <c r="Z1" s="19" t="s">
        <v>334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46195</v>
      </c>
      <c r="F2" s="2">
        <v>0.5</v>
      </c>
      <c r="H2" t="s">
        <v>511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193</v>
      </c>
      <c r="Y2" s="18" t="s">
        <v>194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519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46204</v>
      </c>
      <c r="F5" s="2">
        <v>0.5</v>
      </c>
      <c r="H5" t="s">
        <v>512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117</v>
      </c>
      <c r="Y5" s="18" t="s">
        <v>118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513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185</v>
      </c>
      <c r="Y6" s="18" t="s">
        <v>335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46190</v>
      </c>
      <c r="F7" s="2">
        <v>0.5</v>
      </c>
      <c r="H7" t="s">
        <v>512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123</v>
      </c>
      <c r="Y7" s="18" t="s">
        <v>336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520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195</v>
      </c>
      <c r="Y10" s="18" t="s">
        <v>337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514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54</v>
      </c>
      <c r="Y12" s="18" t="s">
        <v>55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338</v>
      </c>
      <c r="Y13" s="18" t="s">
        <v>339</v>
      </c>
      <c r="Z13" s="19">
        <v>8</v>
      </c>
    </row>
    <row r="14" spans="1:26" x14ac:dyDescent="0.25">
      <c r="A14" t="s">
        <v>40</v>
      </c>
      <c r="B14" t="s">
        <v>216</v>
      </c>
      <c r="C14">
        <v>2</v>
      </c>
      <c r="D14" t="s">
        <v>30</v>
      </c>
      <c r="E14" s="1">
        <v>46183</v>
      </c>
      <c r="F14" s="2">
        <v>0.375</v>
      </c>
      <c r="H14" t="s">
        <v>508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109</v>
      </c>
      <c r="Y14" s="18" t="s">
        <v>110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46190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87</v>
      </c>
      <c r="Y15" s="18" t="s">
        <v>88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241</v>
      </c>
      <c r="E16" s="1">
        <v>46199</v>
      </c>
      <c r="F16" s="2">
        <v>0.375</v>
      </c>
      <c r="H16" t="s">
        <v>508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119</v>
      </c>
      <c r="Y16" s="18" t="s">
        <v>120</v>
      </c>
      <c r="Z16" s="19">
        <v>19</v>
      </c>
    </row>
    <row r="17" spans="1:26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H17" t="s">
        <v>507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186</v>
      </c>
      <c r="Y17" s="18" t="s">
        <v>187</v>
      </c>
      <c r="Z17" s="19">
        <v>3</v>
      </c>
    </row>
    <row r="18" spans="1:26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H18" t="s">
        <v>509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188</v>
      </c>
      <c r="Y18" s="18" t="s">
        <v>189</v>
      </c>
      <c r="Z18" s="19">
        <v>6</v>
      </c>
    </row>
    <row r="19" spans="1:26" x14ac:dyDescent="0.25">
      <c r="A19" s="4" t="s">
        <v>52</v>
      </c>
      <c r="B19" t="s">
        <v>53</v>
      </c>
      <c r="C19">
        <v>3</v>
      </c>
      <c r="D19" t="s">
        <v>33</v>
      </c>
      <c r="E19" s="1">
        <v>46195</v>
      </c>
      <c r="F19" s="2">
        <v>0.375</v>
      </c>
      <c r="H19" t="s">
        <v>507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135</v>
      </c>
      <c r="Y19" s="18" t="s">
        <v>136</v>
      </c>
      <c r="Z19" s="19">
        <v>3</v>
      </c>
    </row>
    <row r="20" spans="1:26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516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183</v>
      </c>
      <c r="Y20" s="18" t="s">
        <v>184</v>
      </c>
      <c r="Z20" s="19">
        <v>4</v>
      </c>
    </row>
    <row r="21" spans="1:26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H21" t="s">
        <v>510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108</v>
      </c>
      <c r="Y21" s="18" t="s">
        <v>221</v>
      </c>
      <c r="Z21" s="19">
        <v>4</v>
      </c>
    </row>
    <row r="22" spans="1:26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H22" t="s">
        <v>513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46</v>
      </c>
      <c r="Y22" s="18" t="s">
        <v>47</v>
      </c>
      <c r="Z22" s="19">
        <v>33</v>
      </c>
    </row>
    <row r="23" spans="1:26" x14ac:dyDescent="0.25">
      <c r="A23" s="4" t="s">
        <v>61</v>
      </c>
      <c r="B23" t="s">
        <v>62</v>
      </c>
      <c r="C23">
        <v>4</v>
      </c>
      <c r="D23" t="s">
        <v>48</v>
      </c>
      <c r="E23" s="1">
        <v>46188</v>
      </c>
      <c r="F23" s="3">
        <v>0.625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58</v>
      </c>
      <c r="Y23" s="18" t="s">
        <v>59</v>
      </c>
      <c r="Z23" s="19">
        <v>44</v>
      </c>
    </row>
    <row r="24" spans="1:26" x14ac:dyDescent="0.25">
      <c r="A24" s="4" t="s">
        <v>63</v>
      </c>
      <c r="B24" t="s">
        <v>64</v>
      </c>
      <c r="C24">
        <v>4</v>
      </c>
      <c r="D24" t="s">
        <v>65</v>
      </c>
      <c r="E24" s="1">
        <v>46183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105</v>
      </c>
      <c r="Y24" s="18" t="s">
        <v>313</v>
      </c>
      <c r="Z24" s="19">
        <v>38</v>
      </c>
    </row>
    <row r="25" spans="1:26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508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82</v>
      </c>
      <c r="Y25" s="18" t="s">
        <v>83</v>
      </c>
      <c r="Z25" s="19">
        <v>44</v>
      </c>
    </row>
    <row r="26" spans="1:26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52</v>
      </c>
      <c r="Y26" s="18" t="s">
        <v>53</v>
      </c>
      <c r="Z26" s="19">
        <v>18</v>
      </c>
    </row>
    <row r="27" spans="1:26" x14ac:dyDescent="0.25">
      <c r="A27" s="4" t="s">
        <v>72</v>
      </c>
      <c r="B27" t="s">
        <v>73</v>
      </c>
      <c r="C27">
        <v>4</v>
      </c>
      <c r="D27" t="s">
        <v>19</v>
      </c>
      <c r="E27" s="1">
        <v>46195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111</v>
      </c>
      <c r="Y27" s="18" t="s">
        <v>112</v>
      </c>
      <c r="Z27" s="19">
        <v>25</v>
      </c>
    </row>
    <row r="28" spans="1:26" x14ac:dyDescent="0.25">
      <c r="A28" s="4" t="s">
        <v>74</v>
      </c>
      <c r="B28" t="s">
        <v>75</v>
      </c>
      <c r="C28">
        <v>4</v>
      </c>
      <c r="D28" t="s">
        <v>76</v>
      </c>
      <c r="E28" s="1">
        <v>46203</v>
      </c>
      <c r="F28" s="2">
        <v>0.375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86</v>
      </c>
      <c r="Y28" s="18" t="s">
        <v>218</v>
      </c>
      <c r="Z28" s="19">
        <v>46</v>
      </c>
    </row>
    <row r="29" spans="1:26" x14ac:dyDescent="0.25">
      <c r="A29" s="4" t="s">
        <v>77</v>
      </c>
      <c r="B29" t="s">
        <v>78</v>
      </c>
      <c r="C29">
        <v>5</v>
      </c>
      <c r="D29" t="s">
        <v>79</v>
      </c>
      <c r="E29" s="1">
        <v>46191</v>
      </c>
      <c r="F29" s="2">
        <v>0.375</v>
      </c>
      <c r="H29" t="s">
        <v>513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181</v>
      </c>
      <c r="Y29" s="18" t="s">
        <v>182</v>
      </c>
      <c r="Z29" s="19">
        <v>33</v>
      </c>
    </row>
    <row r="30" spans="1:26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H30" t="s">
        <v>509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179</v>
      </c>
      <c r="Y30" s="18" t="s">
        <v>180</v>
      </c>
      <c r="Z30" s="19">
        <v>61</v>
      </c>
    </row>
    <row r="31" spans="1:26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H31" t="s">
        <v>515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49</v>
      </c>
      <c r="Y31" s="18" t="s">
        <v>50</v>
      </c>
      <c r="Z31" s="19">
        <v>24</v>
      </c>
    </row>
    <row r="32" spans="1:26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517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80</v>
      </c>
      <c r="Y32" s="18" t="s">
        <v>217</v>
      </c>
      <c r="Z32" s="19">
        <v>21</v>
      </c>
    </row>
    <row r="33" spans="1:26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H33" t="s">
        <v>515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84</v>
      </c>
      <c r="Y33" s="18" t="s">
        <v>85</v>
      </c>
      <c r="Z33" s="19">
        <v>65</v>
      </c>
    </row>
    <row r="34" spans="1:26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H34" t="s">
        <v>510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106</v>
      </c>
      <c r="Y34" s="18" t="s">
        <v>107</v>
      </c>
      <c r="Z34" s="19">
        <v>55</v>
      </c>
    </row>
    <row r="35" spans="1:26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127</v>
      </c>
      <c r="Y35" s="18" t="s">
        <v>128</v>
      </c>
      <c r="Z35" s="19">
        <v>16</v>
      </c>
    </row>
    <row r="36" spans="1:26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203</v>
      </c>
      <c r="Y36" s="18" t="s">
        <v>237</v>
      </c>
      <c r="Z36" s="19">
        <v>16</v>
      </c>
    </row>
    <row r="37" spans="1:26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202</v>
      </c>
      <c r="Y37" s="18" t="s">
        <v>236</v>
      </c>
      <c r="Z37" s="19">
        <v>19</v>
      </c>
    </row>
    <row r="38" spans="1:26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512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200</v>
      </c>
      <c r="Y38" s="18" t="s">
        <v>201</v>
      </c>
      <c r="Z38" s="19">
        <v>22</v>
      </c>
    </row>
    <row r="39" spans="1:26" x14ac:dyDescent="0.25">
      <c r="A39" s="4" t="s">
        <v>98</v>
      </c>
      <c r="B39" t="s">
        <v>219</v>
      </c>
      <c r="C39">
        <v>6</v>
      </c>
      <c r="D39" t="s">
        <v>99</v>
      </c>
      <c r="E39" s="1">
        <v>46189</v>
      </c>
      <c r="F39" s="2">
        <v>0.75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124</v>
      </c>
      <c r="Y39" s="18" t="s">
        <v>125</v>
      </c>
      <c r="Z39" s="19">
        <v>18</v>
      </c>
    </row>
    <row r="40" spans="1:26" x14ac:dyDescent="0.25">
      <c r="A40" s="4" t="s">
        <v>100</v>
      </c>
      <c r="B40" t="s">
        <v>101</v>
      </c>
      <c r="C40">
        <v>6</v>
      </c>
      <c r="D40" t="s">
        <v>521</v>
      </c>
      <c r="E40" s="1">
        <v>46195</v>
      </c>
      <c r="F40" s="2">
        <v>0.75</v>
      </c>
      <c r="H40" t="s">
        <v>508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56</v>
      </c>
      <c r="Y40" s="18" t="s">
        <v>57</v>
      </c>
      <c r="Z40" s="19">
        <v>38</v>
      </c>
    </row>
    <row r="41" spans="1:26" x14ac:dyDescent="0.25">
      <c r="A41" s="4" t="s">
        <v>103</v>
      </c>
      <c r="B41" t="s">
        <v>104</v>
      </c>
      <c r="C41">
        <v>6</v>
      </c>
      <c r="D41" t="s">
        <v>65</v>
      </c>
      <c r="E41" s="1">
        <v>46197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115</v>
      </c>
      <c r="Y41" s="18" t="s">
        <v>340</v>
      </c>
      <c r="Z41" s="19">
        <v>20</v>
      </c>
    </row>
    <row r="42" spans="1:26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H42" t="s">
        <v>518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515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208</v>
      </c>
      <c r="Y44" s="18" t="s">
        <v>209</v>
      </c>
      <c r="Z44" s="19">
        <v>18</v>
      </c>
    </row>
    <row r="45" spans="1:26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77</v>
      </c>
      <c r="Y45" s="18" t="s">
        <v>78</v>
      </c>
      <c r="Z45" s="19">
        <v>53</v>
      </c>
    </row>
    <row r="46" spans="1:26" x14ac:dyDescent="0.25">
      <c r="A46" s="5" t="s">
        <v>111</v>
      </c>
      <c r="B46" t="s">
        <v>112</v>
      </c>
      <c r="C46">
        <v>7</v>
      </c>
      <c r="D46" t="s">
        <v>22</v>
      </c>
      <c r="E46" s="1">
        <v>46196</v>
      </c>
      <c r="F46" s="3">
        <v>0.5</v>
      </c>
      <c r="H46" t="s">
        <v>507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211</v>
      </c>
      <c r="Y46" s="18" t="s">
        <v>212</v>
      </c>
      <c r="Z46" s="19">
        <v>10</v>
      </c>
    </row>
    <row r="47" spans="1:26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196</v>
      </c>
      <c r="Y47" s="18" t="s">
        <v>341</v>
      </c>
      <c r="Z47" s="19">
        <v>5</v>
      </c>
    </row>
    <row r="48" spans="1:26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138</v>
      </c>
      <c r="Y48" s="18" t="s">
        <v>139</v>
      </c>
      <c r="Z48" s="19">
        <v>3</v>
      </c>
    </row>
    <row r="49" spans="1:26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119</v>
      </c>
      <c r="B50" t="s">
        <v>120</v>
      </c>
      <c r="C50">
        <v>7</v>
      </c>
      <c r="D50" t="s">
        <v>241</v>
      </c>
      <c r="E50" s="1">
        <v>46189</v>
      </c>
      <c r="F50" s="3">
        <v>0.625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144</v>
      </c>
      <c r="Y50" s="18" t="s">
        <v>225</v>
      </c>
      <c r="Z50" s="19">
        <v>2</v>
      </c>
    </row>
    <row r="51" spans="1:26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141</v>
      </c>
      <c r="Y51" s="18" t="s">
        <v>142</v>
      </c>
      <c r="Z51" s="19">
        <v>8</v>
      </c>
    </row>
    <row r="52" spans="1:26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H52" t="s">
        <v>509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61</v>
      </c>
      <c r="Y52" s="18" t="s">
        <v>62</v>
      </c>
      <c r="Z52" s="19">
        <v>2</v>
      </c>
    </row>
    <row r="53" spans="1:26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S55" s="25"/>
      <c r="T55" s="25"/>
      <c r="X55" s="18" t="s">
        <v>96</v>
      </c>
      <c r="Y55" s="18" t="s">
        <v>97</v>
      </c>
      <c r="Z55" s="19">
        <v>9</v>
      </c>
    </row>
    <row r="56" spans="1:26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S56" s="25"/>
      <c r="T56" s="25"/>
      <c r="X56" s="18" t="s">
        <v>69</v>
      </c>
      <c r="Y56" s="18" t="s">
        <v>70</v>
      </c>
      <c r="Z56" s="19">
        <v>1</v>
      </c>
    </row>
    <row r="57" spans="1:26" x14ac:dyDescent="0.25">
      <c r="A57" s="5" t="s">
        <v>133</v>
      </c>
      <c r="B57" t="s">
        <v>134</v>
      </c>
      <c r="C57">
        <v>7</v>
      </c>
      <c r="D57" t="s">
        <v>521</v>
      </c>
      <c r="E57" s="1">
        <v>46196</v>
      </c>
      <c r="F57" s="3">
        <v>0.5</v>
      </c>
      <c r="J57" s="22">
        <f t="shared" si="0"/>
        <v>0</v>
      </c>
      <c r="S57" s="25"/>
      <c r="T57" s="25"/>
      <c r="X57" s="18" t="s">
        <v>164</v>
      </c>
      <c r="Y57" s="18" t="s">
        <v>165</v>
      </c>
      <c r="Z57" s="19">
        <v>1</v>
      </c>
    </row>
    <row r="58" spans="1:26" x14ac:dyDescent="0.25">
      <c r="A58" s="5" t="s">
        <v>135</v>
      </c>
      <c r="B58" t="s">
        <v>136</v>
      </c>
      <c r="C58">
        <v>7</v>
      </c>
      <c r="D58" t="s">
        <v>137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92</v>
      </c>
      <c r="Y58" s="18" t="s">
        <v>93</v>
      </c>
      <c r="Z58" s="19">
        <v>2</v>
      </c>
    </row>
    <row r="59" spans="1:26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89</v>
      </c>
      <c r="Y59" s="18" t="s">
        <v>90</v>
      </c>
      <c r="Z59" s="19">
        <v>8</v>
      </c>
    </row>
    <row r="60" spans="1:26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63</v>
      </c>
      <c r="Y60" s="18" t="s">
        <v>64</v>
      </c>
      <c r="Z60" s="19">
        <v>1</v>
      </c>
    </row>
    <row r="61" spans="1:26" x14ac:dyDescent="0.25">
      <c r="A61" s="4" t="s">
        <v>141</v>
      </c>
      <c r="B61" t="s">
        <v>142</v>
      </c>
      <c r="C61">
        <v>8</v>
      </c>
      <c r="D61" t="s">
        <v>520</v>
      </c>
      <c r="E61" s="1">
        <v>46197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94</v>
      </c>
      <c r="Y61" s="18" t="s">
        <v>95</v>
      </c>
      <c r="Z61" s="19">
        <v>2</v>
      </c>
    </row>
    <row r="62" spans="1:26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509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74</v>
      </c>
      <c r="Y62" s="18" t="s">
        <v>75</v>
      </c>
      <c r="Z62" s="19">
        <v>4</v>
      </c>
    </row>
    <row r="63" spans="1:26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140</v>
      </c>
      <c r="Y63" s="18" t="s">
        <v>224</v>
      </c>
      <c r="Z63" s="19">
        <v>3</v>
      </c>
    </row>
    <row r="64" spans="1:26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343</v>
      </c>
      <c r="Z65" s="19">
        <v>1</v>
      </c>
    </row>
    <row r="66" spans="1:26" x14ac:dyDescent="0.25">
      <c r="A66" s="5" t="s">
        <v>150</v>
      </c>
      <c r="B66" t="s">
        <v>151</v>
      </c>
      <c r="C66">
        <v>8</v>
      </c>
      <c r="J66" s="22">
        <f t="shared" ref="J66:J101" si="1">SUM(M66:N66)</f>
        <v>0</v>
      </c>
      <c r="S66" s="25"/>
      <c r="T66" s="25"/>
      <c r="X66" s="18" t="s">
        <v>145</v>
      </c>
      <c r="Y66" s="18" t="s">
        <v>146</v>
      </c>
      <c r="Z66" s="19">
        <v>1</v>
      </c>
    </row>
    <row r="67" spans="1:26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66</v>
      </c>
      <c r="Y67" s="18" t="s">
        <v>67</v>
      </c>
      <c r="Z67" s="19">
        <v>20</v>
      </c>
    </row>
    <row r="68" spans="1:26" x14ac:dyDescent="0.25">
      <c r="A68" s="5" t="s">
        <v>153</v>
      </c>
      <c r="B68" t="s">
        <v>154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155</v>
      </c>
      <c r="B69" t="s">
        <v>156</v>
      </c>
      <c r="C69">
        <v>8</v>
      </c>
      <c r="D69" t="s">
        <v>522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103</v>
      </c>
      <c r="Y69" s="18" t="s">
        <v>104</v>
      </c>
      <c r="Z69" s="19">
        <v>4</v>
      </c>
    </row>
    <row r="70" spans="1:26" x14ac:dyDescent="0.25">
      <c r="A70" s="5" t="s">
        <v>158</v>
      </c>
      <c r="B70" t="s">
        <v>159</v>
      </c>
      <c r="C70">
        <v>8</v>
      </c>
      <c r="D70" t="s">
        <v>522</v>
      </c>
      <c r="E70" s="1">
        <v>46192</v>
      </c>
      <c r="F70" s="3">
        <v>0.5</v>
      </c>
      <c r="J70" s="22">
        <f t="shared" si="1"/>
        <v>0</v>
      </c>
      <c r="S70" s="25"/>
      <c r="T70" s="25"/>
      <c r="X70" s="18" t="s">
        <v>100</v>
      </c>
      <c r="Y70" s="18" t="s">
        <v>101</v>
      </c>
      <c r="Z70" s="19">
        <v>2</v>
      </c>
    </row>
    <row r="71" spans="1:26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3">
        <v>0.375</v>
      </c>
      <c r="J71" s="22">
        <f t="shared" si="1"/>
        <v>0</v>
      </c>
      <c r="S71" s="25"/>
      <c r="T71" s="25"/>
    </row>
    <row r="72" spans="1:26" x14ac:dyDescent="0.25">
      <c r="A72" s="5" t="s">
        <v>162</v>
      </c>
      <c r="B72" t="s">
        <v>163</v>
      </c>
      <c r="C72">
        <v>8</v>
      </c>
      <c r="J72" s="22">
        <f t="shared" si="1"/>
        <v>0</v>
      </c>
      <c r="S72" s="25"/>
      <c r="T72" s="25"/>
    </row>
    <row r="73" spans="1:26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x14ac:dyDescent="0.25">
      <c r="A76" s="5" t="s">
        <v>170</v>
      </c>
      <c r="B76" t="s">
        <v>229</v>
      </c>
      <c r="C76">
        <v>8</v>
      </c>
      <c r="J76" s="22">
        <f t="shared" si="1"/>
        <v>0</v>
      </c>
      <c r="S76" s="25"/>
      <c r="T76" s="25"/>
    </row>
    <row r="77" spans="1:26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3">
        <v>0.375</v>
      </c>
      <c r="J79" s="22">
        <f t="shared" si="1"/>
        <v>0</v>
      </c>
      <c r="S79" s="25"/>
      <c r="T79" s="25"/>
    </row>
    <row r="80" spans="1:26" x14ac:dyDescent="0.25">
      <c r="A80" s="5" t="s">
        <v>178</v>
      </c>
      <c r="B80" t="s">
        <v>230</v>
      </c>
      <c r="C80">
        <v>8</v>
      </c>
      <c r="J80" s="22">
        <f t="shared" si="1"/>
        <v>0</v>
      </c>
      <c r="S80" s="25"/>
      <c r="T80" s="25"/>
    </row>
    <row r="81" spans="1:20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518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x14ac:dyDescent="0.25">
      <c r="A82" s="5" t="s">
        <v>181</v>
      </c>
      <c r="B82" t="s">
        <v>182</v>
      </c>
      <c r="C82">
        <v>9</v>
      </c>
      <c r="D82" t="s">
        <v>99</v>
      </c>
      <c r="E82" s="1">
        <v>46196</v>
      </c>
      <c r="F82" s="3">
        <v>0.625</v>
      </c>
      <c r="H82" t="s">
        <v>507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x14ac:dyDescent="0.25">
      <c r="A87" s="5" t="s">
        <v>190</v>
      </c>
      <c r="B87" t="s">
        <v>191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x14ac:dyDescent="0.25">
      <c r="A88" s="5" t="s">
        <v>192</v>
      </c>
      <c r="B88" t="s">
        <v>232</v>
      </c>
      <c r="C88">
        <v>9</v>
      </c>
      <c r="J88" s="22">
        <f t="shared" si="1"/>
        <v>0</v>
      </c>
      <c r="S88" s="25"/>
      <c r="T88" s="25"/>
    </row>
    <row r="89" spans="1:20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H89" t="s">
        <v>507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H91" t="s">
        <v>76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x14ac:dyDescent="0.25">
      <c r="A92" s="5" t="s">
        <v>197</v>
      </c>
      <c r="B92" t="s">
        <v>235</v>
      </c>
      <c r="C92">
        <v>9</v>
      </c>
      <c r="J92" s="22">
        <f t="shared" si="1"/>
        <v>0</v>
      </c>
      <c r="S92" s="25"/>
      <c r="T92" s="25"/>
    </row>
    <row r="93" spans="1:20" x14ac:dyDescent="0.25">
      <c r="A93" s="5" t="s">
        <v>198</v>
      </c>
      <c r="B93" t="s">
        <v>199</v>
      </c>
      <c r="C93">
        <v>9</v>
      </c>
      <c r="J93" s="22">
        <f t="shared" si="1"/>
        <v>0</v>
      </c>
      <c r="S93" s="25"/>
      <c r="T93" s="25"/>
    </row>
    <row r="94" spans="1:20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x14ac:dyDescent="0.25">
      <c r="A97" s="5" t="s">
        <v>204</v>
      </c>
      <c r="B97" t="s">
        <v>205</v>
      </c>
      <c r="C97">
        <v>9</v>
      </c>
      <c r="J97" s="22">
        <f t="shared" si="1"/>
        <v>0</v>
      </c>
      <c r="S97" s="25"/>
      <c r="T97" s="25"/>
    </row>
    <row r="98" spans="1:20" x14ac:dyDescent="0.25">
      <c r="A98" s="5" t="s">
        <v>206</v>
      </c>
      <c r="B98" t="s">
        <v>207</v>
      </c>
      <c r="C98">
        <v>9</v>
      </c>
      <c r="J98" s="22">
        <f t="shared" si="1"/>
        <v>0</v>
      </c>
      <c r="S98" s="25"/>
      <c r="T98" s="25"/>
    </row>
    <row r="99" spans="1:20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1"/>
        <v>0</v>
      </c>
      <c r="S100" s="25"/>
      <c r="T100" s="25"/>
    </row>
    <row r="101" spans="1:2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x14ac:dyDescent="0.25">
      <c r="A102" s="5" t="s">
        <v>213</v>
      </c>
      <c r="B102" t="s">
        <v>239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347</v>
      </c>
      <c r="O2" s="18" t="s">
        <v>348</v>
      </c>
      <c r="P2" s="19">
        <v>39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349</v>
      </c>
      <c r="O3" s="18" t="s">
        <v>350</v>
      </c>
      <c r="P3" s="19">
        <v>4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351</v>
      </c>
      <c r="O4" s="18" t="s">
        <v>352</v>
      </c>
      <c r="P4" s="19">
        <v>4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353</v>
      </c>
      <c r="O5" s="18" t="s">
        <v>354</v>
      </c>
      <c r="P5" s="19">
        <v>2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355</v>
      </c>
      <c r="O6" s="18" t="s">
        <v>356</v>
      </c>
      <c r="P6" s="19">
        <v>8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46204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357</v>
      </c>
      <c r="O7" s="18" t="s">
        <v>358</v>
      </c>
      <c r="P7" s="19">
        <v>11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359</v>
      </c>
      <c r="O8" s="18" t="s">
        <v>360</v>
      </c>
      <c r="P8" s="19">
        <v>9</v>
      </c>
    </row>
    <row r="9" spans="1:16" x14ac:dyDescent="0.25">
      <c r="A9" t="s">
        <v>330</v>
      </c>
      <c r="B9" t="s">
        <v>293</v>
      </c>
      <c r="C9" s="22">
        <v>2</v>
      </c>
      <c r="D9" s="13" t="s">
        <v>19</v>
      </c>
      <c r="E9" s="14">
        <f>VLOOKUP($I9,Table1[[#All],[course_name]:[epitirites]],4,FALSE)</f>
        <v>46183</v>
      </c>
      <c r="F9" s="15">
        <f>VLOOKUP($I9,Table1[[#All],[course_name]:[epitirites]],5,FALSE)</f>
        <v>0.375</v>
      </c>
      <c r="I9" t="s">
        <v>216</v>
      </c>
      <c r="J9">
        <v>12</v>
      </c>
      <c r="N9" s="18" t="s">
        <v>361</v>
      </c>
      <c r="O9" s="18" t="s">
        <v>362</v>
      </c>
      <c r="P9" s="19">
        <v>15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46195</v>
      </c>
      <c r="F10" s="15">
        <f>VLOOKUP($I10,Table1[[#All],[course_name]:[epitirites]],5,FALSE)</f>
        <v>0.625</v>
      </c>
      <c r="I10" t="s">
        <v>73</v>
      </c>
      <c r="J10">
        <v>15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365</v>
      </c>
      <c r="O11" s="18" t="s">
        <v>366</v>
      </c>
      <c r="P11" s="19">
        <v>11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46188</v>
      </c>
      <c r="F12" s="15">
        <f>VLOOKUP($I12,Table1[[#All],[course_name]:[epitirites]],5,FALSE)</f>
        <v>0.625</v>
      </c>
      <c r="I12" t="s">
        <v>62</v>
      </c>
      <c r="J12">
        <v>11</v>
      </c>
      <c r="N12" s="18" t="s">
        <v>367</v>
      </c>
      <c r="O12" s="18" t="s">
        <v>368</v>
      </c>
      <c r="P12" s="19">
        <v>38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330</v>
      </c>
      <c r="O13" s="18" t="s">
        <v>369</v>
      </c>
      <c r="P13" s="19">
        <v>12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46190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331</v>
      </c>
      <c r="O14" s="18" t="s">
        <v>370</v>
      </c>
      <c r="P14" s="19">
        <v>15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14</v>
      </c>
      <c r="N15" s="18" t="s">
        <v>371</v>
      </c>
      <c r="O15" s="18" t="s">
        <v>372</v>
      </c>
      <c r="P15" s="19">
        <v>8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13</v>
      </c>
      <c r="N16" s="18" t="s">
        <v>373</v>
      </c>
      <c r="O16" s="18" t="s">
        <v>374</v>
      </c>
      <c r="P16" s="19">
        <v>10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46191</v>
      </c>
      <c r="F17" s="15">
        <f>VLOOKUP($I17,Table1[[#All],[course_name]:[epitirites]],5,FALSE)</f>
        <v>0.375</v>
      </c>
      <c r="I17" t="s">
        <v>78</v>
      </c>
      <c r="J17">
        <v>7</v>
      </c>
      <c r="N17" s="18" t="s">
        <v>375</v>
      </c>
      <c r="O17" s="18" t="s">
        <v>376</v>
      </c>
      <c r="P17" s="19">
        <v>9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5</v>
      </c>
      <c r="N18" s="18" t="s">
        <v>377</v>
      </c>
      <c r="O18" s="18" t="s">
        <v>378</v>
      </c>
      <c r="P18" s="19">
        <v>11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46045</v>
      </c>
      <c r="F19" s="17">
        <v>0.625</v>
      </c>
      <c r="J19">
        <v>12</v>
      </c>
      <c r="N19" s="18" t="s">
        <v>379</v>
      </c>
      <c r="O19" s="18" t="s">
        <v>380</v>
      </c>
      <c r="P19" s="19">
        <v>5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24</v>
      </c>
      <c r="N20" s="18" t="s">
        <v>381</v>
      </c>
      <c r="O20" s="18" t="s">
        <v>382</v>
      </c>
      <c r="P20" s="19">
        <v>3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46203</v>
      </c>
      <c r="F21" s="15">
        <f>VLOOKUP($I21,Table1[[#All],[course_name]:[epitirites]],5,FALSE)</f>
        <v>0.375</v>
      </c>
      <c r="I21" t="s">
        <v>75</v>
      </c>
      <c r="J21">
        <v>10</v>
      </c>
      <c r="N21" s="18" t="s">
        <v>383</v>
      </c>
      <c r="O21" s="18" t="s">
        <v>384</v>
      </c>
      <c r="P21" s="19">
        <v>8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8</v>
      </c>
      <c r="N22" s="18" t="s">
        <v>385</v>
      </c>
      <c r="O22" s="18" t="s">
        <v>386</v>
      </c>
      <c r="P22" s="19">
        <v>13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46197</v>
      </c>
      <c r="F23" s="15">
        <f>VLOOKUP($I23,Table1[[#All],[course_name]:[epitirites]],5,FALSE)</f>
        <v>0.375</v>
      </c>
      <c r="I23" t="s">
        <v>104</v>
      </c>
      <c r="J23">
        <v>7</v>
      </c>
      <c r="N23" s="18" t="s">
        <v>387</v>
      </c>
      <c r="O23" s="18" t="s">
        <v>388</v>
      </c>
      <c r="P23" s="19">
        <v>14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389</v>
      </c>
      <c r="O24" s="18" t="s">
        <v>390</v>
      </c>
      <c r="P24" s="19">
        <v>9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6</v>
      </c>
      <c r="N25" s="18" t="s">
        <v>391</v>
      </c>
      <c r="O25" s="18" t="s">
        <v>392</v>
      </c>
      <c r="P25" s="19">
        <v>13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35</v>
      </c>
      <c r="N26" s="18" t="s">
        <v>393</v>
      </c>
      <c r="O26" s="18" t="s">
        <v>394</v>
      </c>
      <c r="P26" s="19">
        <v>7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5</v>
      </c>
      <c r="N27" s="18" t="s">
        <v>395</v>
      </c>
      <c r="O27" s="18" t="s">
        <v>396</v>
      </c>
      <c r="P27" s="19">
        <v>7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8</v>
      </c>
      <c r="N28" s="18" t="s">
        <v>397</v>
      </c>
      <c r="O28" s="18" t="s">
        <v>398</v>
      </c>
      <c r="P28" s="19">
        <v>2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6</v>
      </c>
      <c r="N29" s="18" t="s">
        <v>399</v>
      </c>
      <c r="O29" s="18" t="s">
        <v>400</v>
      </c>
      <c r="P29" s="19">
        <v>5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7</v>
      </c>
      <c r="N30" s="18" t="s">
        <v>401</v>
      </c>
      <c r="O30" s="18" t="s">
        <v>402</v>
      </c>
      <c r="P30" s="19">
        <v>12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46189</v>
      </c>
      <c r="F31" s="15">
        <f>VLOOKUP($I31,Table1[[#All],[course_name]:[epitirites]],5,FALSE)</f>
        <v>0.75</v>
      </c>
      <c r="I31" t="s">
        <v>219</v>
      </c>
      <c r="J31">
        <v>3</v>
      </c>
      <c r="N31" s="18" t="s">
        <v>403</v>
      </c>
      <c r="O31" s="18" t="s">
        <v>404</v>
      </c>
      <c r="P31" s="19">
        <v>21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5</v>
      </c>
      <c r="N32" s="18" t="s">
        <v>405</v>
      </c>
      <c r="O32" s="18" t="s">
        <v>406</v>
      </c>
      <c r="P32" s="19">
        <v>24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4</v>
      </c>
      <c r="N33" s="18" t="s">
        <v>407</v>
      </c>
      <c r="O33" s="18" t="s">
        <v>408</v>
      </c>
      <c r="P33" s="19">
        <v>8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6</v>
      </c>
      <c r="N34" s="18" t="s">
        <v>409</v>
      </c>
      <c r="O34" s="18" t="s">
        <v>410</v>
      </c>
      <c r="P34" s="19">
        <v>10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8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N37" s="18" t="s">
        <v>415</v>
      </c>
      <c r="O37" s="18" t="s">
        <v>416</v>
      </c>
      <c r="P37" s="19">
        <v>7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46196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7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3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46063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10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3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5</v>
      </c>
      <c r="N42" s="18" t="s">
        <v>425</v>
      </c>
      <c r="O42" s="18" t="s">
        <v>426</v>
      </c>
      <c r="P42" s="19">
        <v>6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1</v>
      </c>
      <c r="N43" s="18" t="s">
        <v>427</v>
      </c>
      <c r="O43" s="18" t="s">
        <v>428</v>
      </c>
      <c r="P43" s="19">
        <v>32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N44" s="18" t="s">
        <v>429</v>
      </c>
      <c r="O44" s="18" t="s">
        <v>430</v>
      </c>
      <c r="P44" s="19">
        <v>35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431</v>
      </c>
      <c r="O45" s="18" t="s">
        <v>432</v>
      </c>
      <c r="P45" s="19">
        <v>5</v>
      </c>
    </row>
    <row r="46" spans="1:16" x14ac:dyDescent="0.25">
      <c r="N46" s="18" t="s">
        <v>433</v>
      </c>
      <c r="O46" s="18" t="s">
        <v>434</v>
      </c>
      <c r="P46" s="19">
        <v>4</v>
      </c>
    </row>
    <row r="47" spans="1:16" x14ac:dyDescent="0.25">
      <c r="N47" s="18" t="s">
        <v>435</v>
      </c>
      <c r="O47" s="18" t="s">
        <v>436</v>
      </c>
      <c r="P47" s="19">
        <v>7</v>
      </c>
    </row>
    <row r="48" spans="1:16" x14ac:dyDescent="0.25">
      <c r="N48" s="18" t="s">
        <v>437</v>
      </c>
      <c r="O48" s="18" t="s">
        <v>438</v>
      </c>
      <c r="P48" s="19">
        <v>8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6</v>
      </c>
    </row>
    <row r="51" spans="14:16" x14ac:dyDescent="0.25">
      <c r="N51" s="18" t="s">
        <v>443</v>
      </c>
      <c r="O51" s="18" t="s">
        <v>444</v>
      </c>
      <c r="P51" s="19">
        <v>7</v>
      </c>
    </row>
    <row r="52" spans="14:16" x14ac:dyDescent="0.25">
      <c r="N52" s="18" t="s">
        <v>445</v>
      </c>
      <c r="O52" s="18" t="s">
        <v>446</v>
      </c>
      <c r="P52" s="19">
        <v>3</v>
      </c>
    </row>
    <row r="53" spans="14:16" x14ac:dyDescent="0.25">
      <c r="N53" s="18" t="s">
        <v>447</v>
      </c>
      <c r="O53" s="18" t="s">
        <v>448</v>
      </c>
      <c r="P53" s="19">
        <v>3</v>
      </c>
    </row>
    <row r="54" spans="14:16" x14ac:dyDescent="0.25">
      <c r="N54" s="18" t="s">
        <v>449</v>
      </c>
      <c r="O54" s="18" t="s">
        <v>450</v>
      </c>
      <c r="P54" s="19">
        <v>2</v>
      </c>
    </row>
    <row r="55" spans="14:16" x14ac:dyDescent="0.25">
      <c r="N55" s="18" t="s">
        <v>451</v>
      </c>
      <c r="O55" s="18" t="s">
        <v>452</v>
      </c>
      <c r="P55" s="19">
        <v>5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4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6</v>
      </c>
    </row>
    <row r="60" spans="14:16" x14ac:dyDescent="0.25">
      <c r="N60" s="18" t="s">
        <v>461</v>
      </c>
      <c r="O60" s="18" t="s">
        <v>462</v>
      </c>
      <c r="P60" s="19">
        <v>2</v>
      </c>
    </row>
    <row r="61" spans="14:16" x14ac:dyDescent="0.25">
      <c r="N61" s="18" t="s">
        <v>463</v>
      </c>
      <c r="O61" s="18" t="s">
        <v>464</v>
      </c>
      <c r="P61" s="19">
        <v>2</v>
      </c>
    </row>
    <row r="62" spans="14:16" x14ac:dyDescent="0.25">
      <c r="N62" s="18" t="s">
        <v>465</v>
      </c>
      <c r="O62" s="18" t="s">
        <v>466</v>
      </c>
      <c r="P62" s="19">
        <v>4</v>
      </c>
    </row>
    <row r="63" spans="14:16" x14ac:dyDescent="0.25">
      <c r="N63" s="18" t="s">
        <v>467</v>
      </c>
      <c r="O63" s="18" t="s">
        <v>468</v>
      </c>
      <c r="P63" s="19">
        <v>5</v>
      </c>
    </row>
    <row r="64" spans="14:16" x14ac:dyDescent="0.25">
      <c r="N64" s="18" t="s">
        <v>469</v>
      </c>
      <c r="O64" s="18" t="s">
        <v>470</v>
      </c>
      <c r="P64" s="19">
        <v>1</v>
      </c>
    </row>
    <row r="65" spans="14:16" x14ac:dyDescent="0.25">
      <c r="N65" s="18" t="s">
        <v>471</v>
      </c>
      <c r="O65" s="18" t="s">
        <v>472</v>
      </c>
      <c r="P65" s="19">
        <v>1</v>
      </c>
    </row>
    <row r="66" spans="14:16" x14ac:dyDescent="0.25">
      <c r="N66" s="18" t="s">
        <v>473</v>
      </c>
      <c r="O66" s="18" t="s">
        <v>474</v>
      </c>
      <c r="P66" s="19">
        <v>3</v>
      </c>
    </row>
    <row r="67" spans="14:16" x14ac:dyDescent="0.25">
      <c r="N67" s="18" t="s">
        <v>475</v>
      </c>
      <c r="O67" s="18" t="s">
        <v>476</v>
      </c>
      <c r="P67" s="19">
        <v>2</v>
      </c>
    </row>
    <row r="68" spans="14:16" x14ac:dyDescent="0.25">
      <c r="N68" s="18" t="s">
        <v>477</v>
      </c>
      <c r="O68" s="18" t="s">
        <v>478</v>
      </c>
      <c r="P68" s="19">
        <v>2</v>
      </c>
    </row>
    <row r="69" spans="14:16" x14ac:dyDescent="0.25">
      <c r="N69" s="18" t="s">
        <v>479</v>
      </c>
      <c r="O69" s="18" t="s">
        <v>480</v>
      </c>
      <c r="P69" s="19">
        <v>3</v>
      </c>
    </row>
    <row r="70" spans="14:16" x14ac:dyDescent="0.25">
      <c r="N70" s="18" t="s">
        <v>481</v>
      </c>
      <c r="O70" s="18" t="s">
        <v>482</v>
      </c>
      <c r="P70" s="19">
        <v>3</v>
      </c>
    </row>
    <row r="71" spans="14:16" x14ac:dyDescent="0.25">
      <c r="N71" s="18" t="s">
        <v>483</v>
      </c>
      <c r="O71" s="18" t="s">
        <v>484</v>
      </c>
      <c r="P71" s="19">
        <v>5</v>
      </c>
    </row>
    <row r="72" spans="14:16" x14ac:dyDescent="0.25">
      <c r="N72" s="18" t="s">
        <v>485</v>
      </c>
      <c r="O72" s="18" t="s">
        <v>486</v>
      </c>
      <c r="P72" s="19">
        <v>8</v>
      </c>
    </row>
    <row r="73" spans="14:16" x14ac:dyDescent="0.25">
      <c r="N73" s="18" t="s">
        <v>487</v>
      </c>
      <c r="O73" s="18" t="s">
        <v>488</v>
      </c>
      <c r="P73" s="19">
        <v>1</v>
      </c>
    </row>
    <row r="74" spans="14:16" x14ac:dyDescent="0.25">
      <c r="N74" s="18" t="s">
        <v>489</v>
      </c>
      <c r="O74" s="18" t="s">
        <v>490</v>
      </c>
      <c r="P74" s="19">
        <v>1</v>
      </c>
    </row>
    <row r="75" spans="14:16" x14ac:dyDescent="0.25">
      <c r="N75" s="18" t="s">
        <v>491</v>
      </c>
      <c r="O75" s="18" t="s">
        <v>492</v>
      </c>
      <c r="P75" s="19">
        <v>1</v>
      </c>
    </row>
    <row r="76" spans="14:16" x14ac:dyDescent="0.25">
      <c r="N76" s="18" t="s">
        <v>493</v>
      </c>
      <c r="O76" s="18" t="s">
        <v>494</v>
      </c>
      <c r="P76" s="19">
        <v>1</v>
      </c>
    </row>
    <row r="77" spans="14:16" x14ac:dyDescent="0.25">
      <c r="N77" s="18" t="s">
        <v>495</v>
      </c>
      <c r="O77" s="18" t="s">
        <v>496</v>
      </c>
      <c r="P77" s="19">
        <v>10</v>
      </c>
    </row>
    <row r="78" spans="14:16" x14ac:dyDescent="0.25">
      <c r="N78" s="18" t="s">
        <v>497</v>
      </c>
      <c r="O78" s="18" t="s">
        <v>498</v>
      </c>
      <c r="P78" s="19">
        <v>5</v>
      </c>
    </row>
    <row r="79" spans="14:16" x14ac:dyDescent="0.25">
      <c r="N79" s="18" t="s">
        <v>499</v>
      </c>
      <c r="O79" s="18" t="s">
        <v>500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2026-04-09T16:55:51Z</dcterms:modified>
</cp:coreProperties>
</file>