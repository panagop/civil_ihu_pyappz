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3F5ECD18-C31E-4D6C-B3D9-DDA4C627036E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1" l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0" i="1" a="1"/>
  <c r="R10" i="1" s="1"/>
  <c r="R11" i="1" a="1"/>
  <c r="R11" i="1" s="1"/>
  <c r="R9" i="1" a="1"/>
  <c r="R9" i="1" s="1"/>
  <c r="R7" i="1" a="1"/>
  <c r="R7" i="1" s="1"/>
  <c r="R8" i="1" a="1"/>
  <c r="R8" i="1" s="1"/>
  <c r="R6" i="1" a="1"/>
  <c r="R6" i="1" s="1"/>
  <c r="R5" i="1" a="1"/>
  <c r="R5" i="1" s="1"/>
  <c r="R4" i="1" a="1"/>
  <c r="R4" i="1" s="1"/>
  <c r="R3" i="1" a="1"/>
  <c r="R3" i="1" s="1"/>
  <c r="R2" i="1" a="1"/>
  <c r="R2" i="1" s="1"/>
  <c r="M4" i="1"/>
  <c r="M5" i="1"/>
  <c r="M6" i="1"/>
  <c r="M7" i="1"/>
  <c r="M8" i="1"/>
  <c r="M16" i="1"/>
  <c r="M17" i="1"/>
  <c r="M18" i="1"/>
  <c r="M19" i="1"/>
  <c r="M21" i="1"/>
  <c r="M22" i="1"/>
  <c r="M29" i="1"/>
  <c r="M30" i="1"/>
  <c r="M31" i="1"/>
  <c r="M33" i="1"/>
  <c r="M34" i="1"/>
  <c r="M42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3" i="1"/>
  <c r="M64" i="1"/>
  <c r="M65" i="1"/>
  <c r="M66" i="1"/>
  <c r="M67" i="1"/>
  <c r="M68" i="1"/>
  <c r="M69" i="1"/>
  <c r="M71" i="1"/>
  <c r="M72" i="1"/>
  <c r="M73" i="1"/>
  <c r="M76" i="1"/>
  <c r="M77" i="1"/>
  <c r="M78" i="1"/>
  <c r="M79" i="1"/>
  <c r="M80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L81" i="1"/>
  <c r="M81" i="1" s="1"/>
  <c r="L75" i="1"/>
  <c r="M75" i="1" s="1"/>
  <c r="L74" i="1"/>
  <c r="M74" i="1" s="1"/>
  <c r="L70" i="1"/>
  <c r="M70" i="1" s="1"/>
  <c r="L62" i="1"/>
  <c r="M62" i="1" s="1"/>
  <c r="L61" i="1"/>
  <c r="M61" i="1" s="1"/>
  <c r="L60" i="1"/>
  <c r="M60" i="1" s="1"/>
  <c r="L43" i="1"/>
  <c r="M43" i="1" s="1"/>
  <c r="L41" i="1"/>
  <c r="M41" i="1" s="1"/>
  <c r="L40" i="1"/>
  <c r="M40" i="1" s="1"/>
  <c r="L39" i="1"/>
  <c r="M39" i="1" s="1"/>
  <c r="L38" i="1"/>
  <c r="M38" i="1" s="1"/>
  <c r="L37" i="1"/>
  <c r="M37" i="1" s="1"/>
  <c r="L36" i="1"/>
  <c r="M36" i="1" s="1"/>
  <c r="L35" i="1"/>
  <c r="M35" i="1" s="1"/>
  <c r="L32" i="1"/>
  <c r="M32" i="1" s="1"/>
  <c r="L28" i="1"/>
  <c r="M28" i="1" s="1"/>
  <c r="L27" i="1"/>
  <c r="M27" i="1" s="1"/>
  <c r="L26" i="1"/>
  <c r="M26" i="1" s="1"/>
  <c r="L25" i="1"/>
  <c r="M25" i="1" s="1"/>
  <c r="L24" i="1"/>
  <c r="M24" i="1" s="1"/>
  <c r="L23" i="1"/>
  <c r="M23" i="1" s="1"/>
  <c r="L20" i="1"/>
  <c r="M20" i="1" s="1"/>
  <c r="L15" i="1"/>
  <c r="M15" i="1" s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3" i="1"/>
  <c r="M3" i="1" s="1"/>
  <c r="O96" i="1" l="1"/>
  <c r="J94" i="1"/>
  <c r="O87" i="1"/>
  <c r="J87" i="1" s="1"/>
  <c r="O86" i="1"/>
  <c r="O83" i="1"/>
  <c r="O82" i="1"/>
  <c r="J78" i="1"/>
  <c r="O73" i="1"/>
  <c r="J70" i="1"/>
  <c r="O67" i="1"/>
  <c r="J67" i="1" s="1"/>
  <c r="O65" i="1"/>
  <c r="J65" i="1" s="1"/>
  <c r="O63" i="1"/>
  <c r="O62" i="1"/>
  <c r="O61" i="1"/>
  <c r="J54" i="1"/>
  <c r="J46" i="1"/>
  <c r="O42" i="1"/>
  <c r="O41" i="1"/>
  <c r="O39" i="1"/>
  <c r="J39" i="1" s="1"/>
  <c r="O38" i="1"/>
  <c r="O37" i="1"/>
  <c r="O36" i="1"/>
  <c r="O35" i="1"/>
  <c r="O33" i="1"/>
  <c r="O32" i="1"/>
  <c r="O31" i="1"/>
  <c r="O30" i="1"/>
  <c r="O29" i="1"/>
  <c r="O28" i="1"/>
  <c r="O27" i="1"/>
  <c r="J27" i="1" s="1"/>
  <c r="O26" i="1"/>
  <c r="O25" i="1"/>
  <c r="J25" i="1" s="1"/>
  <c r="O23" i="1"/>
  <c r="J22" i="1"/>
  <c r="O19" i="1"/>
  <c r="J19" i="1" s="1"/>
  <c r="O18" i="1"/>
  <c r="O16" i="1"/>
  <c r="O14" i="1"/>
  <c r="O13" i="1"/>
  <c r="J13" i="1" s="1"/>
  <c r="O11" i="1"/>
  <c r="O9" i="1"/>
  <c r="J9" i="1" s="1"/>
  <c r="O8" i="1"/>
  <c r="O7" i="1"/>
  <c r="J2" i="1"/>
  <c r="K1" i="1"/>
  <c r="J47" i="1"/>
  <c r="J51" i="1"/>
  <c r="J55" i="1"/>
  <c r="J56" i="1"/>
  <c r="J57" i="1"/>
  <c r="J64" i="1"/>
  <c r="J66" i="1"/>
  <c r="J68" i="1"/>
  <c r="J69" i="1"/>
  <c r="J71" i="1"/>
  <c r="J72" i="1"/>
  <c r="J74" i="1"/>
  <c r="J75" i="1"/>
  <c r="J76" i="1"/>
  <c r="J77" i="1"/>
  <c r="J79" i="1"/>
  <c r="J80" i="1"/>
  <c r="J88" i="1"/>
  <c r="J92" i="1"/>
  <c r="J93" i="1"/>
  <c r="J97" i="1"/>
  <c r="J98" i="1"/>
  <c r="J100" i="1"/>
  <c r="O3" i="1"/>
  <c r="O4" i="1"/>
  <c r="O5" i="1"/>
  <c r="O6" i="1"/>
  <c r="J89" i="1"/>
  <c r="J90" i="1"/>
  <c r="J91" i="1"/>
  <c r="J95" i="1"/>
  <c r="J99" i="1"/>
  <c r="J101" i="1"/>
  <c r="J81" i="1"/>
  <c r="J84" i="1"/>
  <c r="J85" i="1"/>
  <c r="J40" i="1"/>
  <c r="J43" i="1"/>
  <c r="J44" i="1"/>
  <c r="J45" i="1"/>
  <c r="J48" i="1"/>
  <c r="J49" i="1"/>
  <c r="J50" i="1"/>
  <c r="J52" i="1"/>
  <c r="J53" i="1"/>
  <c r="J58" i="1"/>
  <c r="J59" i="1"/>
  <c r="J60" i="1"/>
  <c r="J10" i="1"/>
  <c r="J12" i="1"/>
  <c r="J15" i="1"/>
  <c r="J17" i="1"/>
  <c r="J20" i="1"/>
  <c r="J21" i="1"/>
  <c r="J24" i="1"/>
  <c r="J34" i="1"/>
  <c r="A16" i="6"/>
  <c r="A17" i="6" s="1"/>
  <c r="A18" i="6" s="1"/>
  <c r="A19" i="6" s="1"/>
  <c r="A21" i="6" s="1"/>
  <c r="A22" i="6" s="1"/>
  <c r="A23" i="6" s="1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2" i="6"/>
  <c r="A13" i="6" s="1"/>
  <c r="A14" i="6" s="1"/>
  <c r="A3" i="6"/>
  <c r="A4" i="6" s="1"/>
  <c r="A5" i="6" s="1"/>
  <c r="A6" i="6" s="1"/>
  <c r="A7" i="6" s="1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1" i="1" l="1"/>
  <c r="J8" i="1"/>
  <c r="J7" i="1"/>
  <c r="J33" i="1"/>
  <c r="J38" i="1"/>
  <c r="J86" i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  <comment ref="K10" authorId="0" shapeId="0" xr:uid="{529006C4-539C-418C-954A-BA59ABB1E629}">
      <text>
        <r>
          <rPr>
            <b/>
            <sz val="9"/>
            <color indexed="81"/>
            <rFont val="Tahoma"/>
            <charset val="1"/>
          </rPr>
          <t>βάζω παραπάνω επιτηρητή γιατί το εξετάζει η Χριστίνα και όχι ο Χρήστος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3" authorId="0" shapeId="0" xr:uid="{235E0939-1B98-4371-B4C4-E997D4F3A750}">
      <text>
        <r>
          <rPr>
            <b/>
            <sz val="9"/>
            <color indexed="81"/>
            <rFont val="Tahoma"/>
            <charset val="1"/>
          </rPr>
          <t>Να μπει ο Ηλίας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<sst xmlns="http://schemas.openxmlformats.org/spreadsheetml/2006/main" count="1224" uniqueCount="524">
  <si>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</si>
  <si>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</si>
  <si>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</si>
  <si>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</si>
  <si>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</si>
  <si>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</si>
  <si>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</si>
  <si>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</si>
  <si>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</si>
  <si>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</si>
  <si>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</si>
  <si>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</si>
  <si>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</si>
  <si>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</si>
  <si>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</si>
  <si>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</si>
  <si>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</si>
  <si>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</si>
  <si>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</si>
  <si>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</si>
  <si>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</si>
  <si>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</si>
  <si>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</si>
  <si>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</si>
  <si>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</si>
  <si>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</si>
  <si>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</si>
  <si>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</si>
  <si>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</si>
  <si>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</si>
  <si>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</si>
  <si>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</si>
  <si>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</si>
  <si>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</si>
  <si>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</si>
  <si>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</si>
  <si>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</si>
  <si>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</si>
  <si>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</si>
  <si>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</si>
  <si>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</si>
  <si>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</si>
  <si>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</si>
  <si>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</si>
  <si>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</si>
  <si>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</si>
  <si>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</si>
  <si>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</si>
  <si>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</si>
  <si>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</si>
  <si>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</si>
  <si>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</si>
  <si>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</si>
  <si>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</si>
  <si>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</si>
  <si>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</si>
  <si>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</si>
  <si>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</si>
  <si>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</si>
  <si>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</si>
  <si>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</si>
  <si>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</si>
  <si>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</si>
  <si>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</si>
  <si>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</si>
  <si>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</si>
  <si>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</si>
  <si>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</si>
  <si>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</si>
  <si>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</si>
  <si>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</si>
  <si>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</si>
  <si>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</si>
  <si>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</si>
  <si>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</si>
  <si>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</si>
  <si>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</si>
  <si>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</si>
  <si>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</si>
  <si>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</si>
  <si>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</si>
  <si>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</si>
  <si>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</si>
  <si>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</si>
  <si>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</si>
  <si>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</si>
  <si>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</si>
  <si>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</si>
  <si>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</si>
  <si>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</si>
  <si>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</si>
  <si>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</si>
  <si>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</si>
  <si>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</si>
  <si>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</si>
  <si>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</si>
  <si>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</si>
  <si>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</si>
  <si>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</si>
  <si>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</si>
  <si>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</si>
  <si>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</si>
  <si>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</si>
  <si>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</si>
  <si>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</si>
  <si>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</si>
  <si>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</si>
  <si>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</si>
  <si>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</si>
  <si>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</si>
  <si>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</si>
  <si>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</si>
  <si>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</si>
  <si>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</si>
  <si>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</si>
  <si>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</si>
  <si>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</si>
  <si>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</si>
  <si>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</si>
  <si>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</si>
  <si>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</si>
  <si>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</si>
  <si>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</si>
  <si>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</si>
  <si>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</si>
  <si>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</si>
  <si>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</si>
  <si>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</si>
  <si>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</si>
  <si>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</si>
  <si>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</si>
  <si>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</si>
  <si>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</si>
  <si>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</si>
  <si>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</si>
  <si>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</si>
  <si>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</si>
  <si>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</si>
  <si>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</si>
  <si>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</si>
  <si>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</si>
  <si>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</si>
  <si>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</si>
  <si>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</si>
  <si>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</si>
  <si>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</si>
  <si>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</si>
  <si>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</si>
  <si>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</si>
  <si>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</si>
  <si>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</si>
  <si>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</si>
  <si>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</si>
  <si>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</si>
  <si>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</si>
  <si>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</si>
  <si>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</si>
  <si>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</si>
  <si>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</si>
  <si>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</si>
  <si>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</si>
  <si>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</si>
  <si>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</si>
  <si>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</si>
  <si>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</si>
  <si>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</si>
  <si>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</si>
  <si>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</si>
  <si>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</si>
  <si>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</si>
  <si>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</si>
  <si>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</si>
  <si>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</si>
  <si>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</si>
  <si>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</si>
  <si>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</si>
  <si>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</si>
  <si>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</si>
  <si>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</si>
  <si>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</si>
  <si>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</si>
  <si>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</si>
  <si>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</si>
  <si>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</si>
  <si>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</si>
  <si>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</si>
  <si>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</si>
  <si>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</si>
  <si>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</si>
  <si>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</si>
  <si>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</si>
  <si>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</si>
  <si>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</si>
  <si>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</si>
  <si>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</si>
  <si>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</si>
  <si>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</si>
  <si>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</si>
  <si>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</si>
  <si>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</si>
  <si>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</si>
  <si>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</si>
  <si>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</si>
  <si>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</si>
  <si>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</si>
  <si>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</si>
  <si>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</si>
  <si>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</si>
  <si>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</si>
  <si>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</si>
  <si>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</si>
  <si>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</si>
  <si>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</si>
  <si>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</si>
  <si>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</si>
  <si>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</si>
  <si>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</si>
  <si>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</si>
  <si>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</si>
  <si>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</si>
  <si>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</si>
  <si>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</si>
  <si>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</si>
  <si>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</si>
  <si>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</si>
  <si>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</si>
  <si>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</si>
  <si>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</si>
  <si>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</si>
  <si>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</si>
  <si>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</si>
  <si>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</si>
  <si>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</si>
  <si>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</si>
  <si>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</si>
  <si>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</si>
  <si>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</si>
  <si>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</si>
  <si>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</si>
  <si>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</si>
  <si>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</si>
  <si>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</si>
  <si>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</si>
  <si>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</si>
  <si>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</si>
  <si>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</si>
  <si>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</si>
  <si>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</si>
  <si>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</si>
  <si>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</si>
  <si>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</si>
  <si>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</si>
  <si>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</si>
  <si>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</si>
  <si>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</si>
  <si>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</si>
  <si>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</si>
  <si>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</si>
  <si>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</si>
  <si>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</si>
  <si>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</si>
  <si>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</si>
  <si>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</si>
  <si>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</si>
  <si>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</si>
  <si>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</si>
  <si>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</si>
  <si>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</si>
  <si>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</si>
  <si>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</si>
  <si>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</si>
  <si>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</si>
  <si>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</si>
  <si>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</si>
  <si>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</si>
  <si>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</si>
  <si>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</si>
  <si>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</si>
  <si>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</si>
  <si>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</si>
  <si>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</si>
  <si>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</si>
  <si>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</si>
  <si>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</si>
  <si>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</si>
  <si>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</si>
  <si>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</si>
  <si>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</si>
  <si>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</si>
  <si>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</si>
  <si>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</si>
  <si>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</si>
  <si>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</si>
  <si>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</si>
  <si>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</si>
  <si>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</si>
  <si>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</si>
  <si>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</si>
  <si>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</si>
  <si>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</si>
  <si>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</si>
  <si>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</si>
  <si>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</si>
  <si>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</si>
  <si>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</si>
  <si>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</si>
  <si>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</si>
  <si>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</si>
  <si>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</si>
  <si>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</si>
  <si>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</si>
  <si>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</si>
  <si>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</si>
  <si>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</si>
  <si>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</si>
  <si>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</si>
  <si>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</si>
  <si>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</si>
  <si>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</si>
  <si>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</si>
  <si>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</si>
  <si>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</si>
  <si>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</si>
  <si>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</si>
  <si>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</si>
  <si>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</si>
  <si>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</si>
  <si>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</si>
  <si>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</si>
  <si>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</si>
  <si>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</si>
  <si>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</si>
  <si>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</si>
  <si>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</si>
  <si>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</si>
  <si>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</si>
  <si>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</si>
  <si>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</si>
  <si>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</si>
  <si>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</si>
  <si>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</si>
  <si>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</si>
  <si>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</si>
  <si>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</si>
  <si>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</si>
  <si>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</si>
  <si>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</si>
  <si>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</si>
  <si>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</si>
  <si>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</si>
  <si>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</si>
  <si>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</si>
  <si>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</si>
  <si>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</si>
  <si>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</si>
  <si>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</si>
  <si>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</si>
  <si>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</si>
  <si>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</si>
  <si>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</si>
  <si>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</si>
  <si>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</si>
  <si>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</si>
  <si>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</si>
  <si>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</si>
  <si>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</si>
  <si>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</si>
  <si>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</si>
  <si>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</si>
  <si>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</si>
  <si>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</si>
  <si>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</si>
  <si>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</si>
  <si>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</si>
  <si>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</si>
  <si>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</si>
  <si>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</si>
  <si>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</si>
  <si>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</si>
  <si>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</si>
  <si>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</si>
  <si>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</si>
  <si>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</si>
  <si>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</si>
  <si>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</si>
  <si>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</si>
  <si>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</si>
  <si>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</si>
  <si>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</si>
  <si>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</si>
  <si>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</si>
  <si>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</si>
  <si>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</si>
  <si>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</si>
  <si>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</si>
  <si>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</si>
  <si>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</si>
  <si>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</si>
  <si>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</si>
  <si>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</si>
  <si>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</si>
  <si>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</si>
  <si>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</si>
  <si>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</si>
  <si>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</si>
  <si>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</si>
  <si>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</si>
  <si>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</si>
  <si>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</si>
  <si>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</si>
  <si>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</si>
  <si>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</si>
  <si>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</si>
  <si>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</si>
  <si>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</si>
  <si>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</si>
  <si>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</si>
  <si>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</si>
  <si>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</si>
  <si>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</si>
  <si>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</si>
  <si>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</si>
  <si>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</si>
  <si>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</si>
  <si>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</si>
  <si>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</si>
  <si>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</si>
  <si>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</si>
  <si>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</si>
  <si>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</si>
  <si>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</si>
  <si>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</si>
  <si>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</si>
  <si>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</si>
  <si>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</si>
  <si>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</si>
  <si>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</si>
  <si>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</si>
  <si>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</si>
  <si>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</si>
  <si>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</si>
  <si>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</si>
  <si>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</si>
  <si>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</si>
  <si>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</si>
  <si>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</si>
  <si>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</si>
  <si>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</si>
  <si>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</si>
  <si>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</si>
  <si>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</si>
  <si>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</si>
  <si>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</si>
  <si>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</si>
  <si>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</si>
  <si>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</si>
  <si>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</si>
  <si>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</si>
  <si>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</si>
  <si>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</si>
  <si>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</si>
  <si>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</si>
  <si>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</si>
  <si>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</si>
  <si>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</si>
  <si>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</si>
  <si>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</si>
  <si>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</si>
  <si>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</si>
  <si>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</si>
  <si>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</si>
  <si>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</si>
  <si>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</si>
  <si>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</si>
  <si>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</si>
  <si>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</si>
  <si>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</si>
  <si>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</si>
  <si>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</si>
  <si>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</si>
  <si>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</si>
  <si>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</si>
  <si>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</si>
  <si>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</si>
  <si>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</si>
  <si>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</si>
  <si>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</si>
  <si>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</si>
  <si>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</si>
  <si>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</si>
  <si>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</si>
  <si>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</si>
  <si>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</si>
  <si>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</si>
  <si>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</si>
  <si>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</si>
  <si>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</si>
  <si>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</si>
  <si>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</si>
  <si>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</si>
  <si>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</si>
  <si>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</si>
  <si>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</si>
  <si>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</si>
  <si>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</si>
  <si>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</si>
  <si>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</si>
  <si>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</si>
  <si>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</si>
  <si>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</si>
  <si>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</si>
  <si>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Πανταζής</t>
  </si>
  <si>
    <t>Πανταζής, Σαφούρη Χρ.</t>
  </si>
  <si>
    <t>Σαπίδης</t>
  </si>
  <si>
    <t>Αυγέρης</t>
  </si>
  <si>
    <t>Μαραγκός</t>
  </si>
  <si>
    <t>Ζαχαράκη</t>
  </si>
  <si>
    <t/>
  </si>
  <si>
    <t>Ιωάννου, Νάσσου, Σαφούρη Χρ.</t>
  </si>
  <si>
    <t>Ιωάννου, Νάσσου, Σαφούρη Χρ., Πανταζής</t>
  </si>
  <si>
    <t>Ιωάννου, Νάσσου</t>
  </si>
  <si>
    <t>Νάσσου, Πανταζής</t>
  </si>
  <si>
    <t>Ιωάννου, Πανταζής, Σαφούρη Χρ.</t>
  </si>
  <si>
    <t>Νάσσου,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</si>
</sst>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513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514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515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516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2"/>
  <sheetViews>
    <sheetView tabSelected="1" zoomScale="85" zoomScaleNormal="85" workbookViewId="0">
      <pane ySplit="1" topLeftCell="A5" activePane="bottomLeft" state="frozen"/>
      <selection pane="bottomLeft" activeCell="H30" sqref="H30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60</v>
      </c>
      <c r="N1" s="22" t="s">
        <v>346</v>
      </c>
      <c r="O1" s="22" t="s">
        <v>501</v>
      </c>
      <c r="Y1" s="18" t="s">
        <v>332</v>
      </c>
      <c r="Z1" s="18" t="s">
        <v>333</v>
      </c>
      <c r="AA1" s="19" t="s">
        <v>334</v>
      </c>
    </row>
    <row r="2" spans="1:27" x14ac:dyDescent="0.25">
      <c r="A2" t="s">
        <v>9</v>
      </c>
      <c r="B2" t="s">
        <v>10</v>
      </c>
      <c r="C2">
        <v>1</v>
      </c>
      <c r="D2" t="s">
        <v>19</v>
      </c>
      <c r="E2" s="1">
        <v>46190</v>
      </c>
      <c r="F2" s="2">
        <v>0.625</v>
      </c>
      <c r="H2" t="s">
        <v>11</v>
      </c>
      <c r="J2" s="22">
        <f t="shared" ref="J2:J65" si="0">SUM(N2:O2)</f>
        <v>8</v>
      </c>
      <c r="K2"/>
      <c r="N2" s="22">
        <v>8</v>
      </c>
      <c r="Q2" s="25" t="s">
        <v>507</v>
      </c>
      <c r="R2" s="22" cm="1">
        <f t="array" ref="R2">SUMPRODUCT(--ISNUMBER(SEARCH(Q2,Table1[[#All],[epitirites]])))</f>
        <v>18</v>
      </c>
      <c r="T2" s="25"/>
      <c r="U2" s="25"/>
      <c r="Y2" s="18" t="s">
        <v>193</v>
      </c>
      <c r="Z2" s="18" t="s">
        <v>194</v>
      </c>
      <c r="AA2" s="19">
        <v>5</v>
      </c>
    </row>
    <row r="3" spans="1:27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511</v>
      </c>
      <c r="J3" s="22">
        <f t="shared" si="0"/>
        <v>46</v>
      </c>
      <c r="K3">
        <v>2</v>
      </c>
      <c r="L3" s="22">
        <f>COUNTA(_xlfn.TEXTSPLIT(H3,","))</f>
        <v>2</v>
      </c>
      <c r="M3" s="22">
        <f>K3-L3</f>
        <v>0</v>
      </c>
      <c r="N3" s="22">
        <v>31</v>
      </c>
      <c r="O3" s="22">
        <f>VLOOKUP(Table1[[#This Row],[course_name]],ΤΕΙ!I:J,2,FALSE)</f>
        <v>15</v>
      </c>
      <c r="Q3" s="22" t="s">
        <v>508</v>
      </c>
      <c r="R3" s="22" cm="1">
        <f t="array" ref="R3">SUMPRODUCT(--ISNUMBER(SEARCH(Q3,Table1[[#All],[epitirites]])))</f>
        <v>18</v>
      </c>
      <c r="T3" s="25"/>
      <c r="U3" s="25"/>
      <c r="Y3" s="18" t="s">
        <v>12</v>
      </c>
      <c r="Z3" s="18" t="s">
        <v>13</v>
      </c>
      <c r="AA3" s="21">
        <v>104</v>
      </c>
    </row>
    <row r="4" spans="1:27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</v>
      </c>
      <c r="K4"/>
      <c r="M4" s="22">
        <f t="shared" ref="M4:M67" si="1">K4-L4</f>
        <v>0</v>
      </c>
      <c r="N4" s="22">
        <v>2</v>
      </c>
      <c r="O4" s="22">
        <f>VLOOKUP(Table1[[#This Row],[course_name]],ΤΕΙ!I:J,2,FALSE)</f>
        <v>4</v>
      </c>
      <c r="Q4" s="22" t="s">
        <v>509</v>
      </c>
      <c r="R4" s="22" cm="1">
        <f t="array" ref="R4">SUMPRODUCT(--ISNUMBER(SEARCH(Q4,Table1[[#All],[epitirites]])))</f>
        <v>19</v>
      </c>
      <c r="T4" s="25"/>
      <c r="U4" s="25"/>
      <c r="Y4" s="18" t="s">
        <v>26</v>
      </c>
      <c r="Z4" s="18" t="s">
        <v>27</v>
      </c>
      <c r="AA4" s="21">
        <v>41</v>
      </c>
    </row>
    <row r="5" spans="1:27" x14ac:dyDescent="0.25">
      <c r="A5" t="s">
        <v>17</v>
      </c>
      <c r="B5" t="s">
        <v>18</v>
      </c>
      <c r="C5">
        <v>1</v>
      </c>
      <c r="D5" t="s">
        <v>19</v>
      </c>
      <c r="E5" s="1">
        <v>46196</v>
      </c>
      <c r="F5" s="2">
        <v>0.5</v>
      </c>
      <c r="J5" s="22">
        <f t="shared" si="0"/>
        <v>7</v>
      </c>
      <c r="K5"/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504</v>
      </c>
      <c r="R5" s="22" cm="1">
        <f t="array" ref="R5">SUMPRODUCT(--ISNUMBER(SEARCH(Q5,Table1[[#All],[epitirites]])))</f>
        <v>6</v>
      </c>
      <c r="T5" s="25"/>
      <c r="U5" s="25"/>
      <c r="Y5" s="18" t="s">
        <v>117</v>
      </c>
      <c r="Z5" s="18" t="s">
        <v>118</v>
      </c>
      <c r="AA5" s="19">
        <v>9</v>
      </c>
    </row>
    <row r="6" spans="1:27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J6" s="22">
        <f t="shared" si="0"/>
        <v>5</v>
      </c>
      <c r="K6"/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503</v>
      </c>
      <c r="R6" s="22" cm="1">
        <f t="array" ref="R6">SUMPRODUCT(--ISNUMBER(SEARCH(Q6,Table1[[#All],[epitirites]])))</f>
        <v>2</v>
      </c>
      <c r="T6" s="25"/>
      <c r="U6" s="25"/>
      <c r="Y6" s="18" t="s">
        <v>185</v>
      </c>
      <c r="Z6" s="18" t="s">
        <v>335</v>
      </c>
      <c r="AA6" s="19">
        <v>12</v>
      </c>
    </row>
    <row r="7" spans="1:27" x14ac:dyDescent="0.25">
      <c r="A7" t="s">
        <v>23</v>
      </c>
      <c r="B7" t="s">
        <v>24</v>
      </c>
      <c r="C7">
        <v>1</v>
      </c>
      <c r="D7" t="s">
        <v>25</v>
      </c>
      <c r="E7" s="1">
        <v>46204</v>
      </c>
      <c r="F7" s="2">
        <v>0.375</v>
      </c>
      <c r="J7" s="22">
        <f t="shared" si="0"/>
        <v>6</v>
      </c>
      <c r="K7"/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76</v>
      </c>
      <c r="R7" s="22" cm="1">
        <f t="array" ref="R7">SUMPRODUCT(--ISNUMBER(SEARCH(Q7,Table1[[#All],[epitirites]])))</f>
        <v>1</v>
      </c>
      <c r="T7" s="25"/>
      <c r="U7" s="25"/>
      <c r="Y7" s="18" t="s">
        <v>123</v>
      </c>
      <c r="Z7" s="18" t="s">
        <v>336</v>
      </c>
      <c r="AA7" s="19">
        <v>32</v>
      </c>
    </row>
    <row r="8" spans="1:27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5</v>
      </c>
      <c r="K8"/>
      <c r="M8" s="22">
        <f t="shared" si="1"/>
        <v>0</v>
      </c>
      <c r="N8" s="22" t="s">
        <v>517</v>
      </c>
      <c r="O8" s="22">
        <f>VLOOKUP(Table1[[#This Row],[course_name]],ΤΕΙ!I:J,2,FALSE)</f>
        <v>5</v>
      </c>
      <c r="Q8" s="22" t="s">
        <v>48</v>
      </c>
      <c r="R8" s="22" cm="1">
        <f t="array" ref="R8">SUMPRODUCT(--ISNUMBER(SEARCH(Q8,Table1[[#All],[epitirites]])))</f>
        <v>0</v>
      </c>
      <c r="T8" s="25"/>
      <c r="U8" s="25"/>
      <c r="Y8" s="18" t="s">
        <v>14</v>
      </c>
      <c r="Z8" s="18" t="s">
        <v>15</v>
      </c>
      <c r="AA8" s="21">
        <v>49</v>
      </c>
    </row>
    <row r="9" spans="1:27" x14ac:dyDescent="0.25">
      <c r="A9" t="s">
        <v>28</v>
      </c>
      <c r="B9" t="s">
        <v>29</v>
      </c>
      <c r="C9">
        <v>2</v>
      </c>
      <c r="D9" t="s">
        <v>513</v>
      </c>
      <c r="E9" s="1">
        <v>46181</v>
      </c>
      <c r="F9" s="2">
        <v>0.5</v>
      </c>
      <c r="H9" t="s">
        <v>512</v>
      </c>
      <c r="J9" s="22">
        <f t="shared" si="0"/>
        <v>57</v>
      </c>
      <c r="K9">
        <v>2</v>
      </c>
      <c r="L9" s="22">
        <f t="shared" ref="L9:L15" si="2">COUNTA(_xlfn.TEXTSPLIT(H9,","))</f>
        <v>2</v>
      </c>
      <c r="M9" s="22">
        <f t="shared" si="1"/>
        <v>0</v>
      </c>
      <c r="N9" s="22">
        <v>53</v>
      </c>
      <c r="O9" s="22">
        <f>VLOOKUP(Table1[[#This Row],[course_name]],ΤΕΙ!I:J,2,FALSE)</f>
        <v>4</v>
      </c>
      <c r="Q9" s="22" t="s">
        <v>68</v>
      </c>
      <c r="R9" s="22" cm="1">
        <f t="array" ref="R9">SUMPRODUCT(--ISNUMBER(SEARCH(Q9,Table1[[#All],[epitirites]])))</f>
        <v>1</v>
      </c>
      <c r="T9" s="25"/>
      <c r="U9" s="25"/>
      <c r="Y9" s="18" t="s">
        <v>44</v>
      </c>
      <c r="Z9" s="18" t="s">
        <v>45</v>
      </c>
      <c r="AA9" s="19">
        <v>22</v>
      </c>
    </row>
    <row r="10" spans="1:27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H10" t="s">
        <v>519</v>
      </c>
      <c r="J10" s="22">
        <f t="shared" si="0"/>
        <v>111</v>
      </c>
      <c r="K10">
        <v>4</v>
      </c>
      <c r="L10" s="22">
        <f t="shared" si="2"/>
        <v>4</v>
      </c>
      <c r="M10" s="22">
        <f t="shared" si="1"/>
        <v>0</v>
      </c>
      <c r="N10" s="22">
        <v>111</v>
      </c>
      <c r="Q10" s="22" t="s">
        <v>242</v>
      </c>
      <c r="R10" s="22" cm="1">
        <f t="array" ref="R10">SUMPRODUCT(--ISNUMBER(SEARCH(Q10,Table1[[#All],[epitirites]])))</f>
        <v>0</v>
      </c>
      <c r="T10" s="25"/>
      <c r="U10" s="25"/>
      <c r="Y10" s="18" t="s">
        <v>195</v>
      </c>
      <c r="Z10" s="18" t="s">
        <v>337</v>
      </c>
      <c r="AA10" s="19">
        <v>7</v>
      </c>
    </row>
    <row r="11" spans="1:27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519</v>
      </c>
      <c r="J11" s="22">
        <f t="shared" si="0"/>
        <v>135</v>
      </c>
      <c r="K11">
        <v>4</v>
      </c>
      <c r="L11" s="22">
        <f t="shared" si="2"/>
        <v>4</v>
      </c>
      <c r="M11" s="22">
        <f t="shared" si="1"/>
        <v>0</v>
      </c>
      <c r="N11" s="22">
        <v>118</v>
      </c>
      <c r="O11" s="22">
        <f>VLOOKUP(Table1[[#This Row],[course_name]],ΤΕΙ!I:J,2,FALSE)</f>
        <v>17</v>
      </c>
      <c r="Q11" s="22" t="s">
        <v>60</v>
      </c>
      <c r="R11" s="22" cm="1">
        <f t="array" ref="R11">SUMPRODUCT(--ISNUMBER(SEARCH(Q11,Table1[[#All],[epitirites]])))</f>
        <v>0</v>
      </c>
      <c r="T11" s="25"/>
      <c r="U11" s="25"/>
      <c r="Y11" s="18" t="s">
        <v>9</v>
      </c>
      <c r="Z11" s="18" t="s">
        <v>10</v>
      </c>
      <c r="AA11" s="21">
        <v>66</v>
      </c>
    </row>
    <row r="12" spans="1:27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H12" t="s">
        <v>512</v>
      </c>
      <c r="J12" s="22">
        <f t="shared" si="0"/>
        <v>51</v>
      </c>
      <c r="K12">
        <v>2</v>
      </c>
      <c r="L12" s="22">
        <f t="shared" si="2"/>
        <v>2</v>
      </c>
      <c r="M12" s="22">
        <f t="shared" si="1"/>
        <v>0</v>
      </c>
      <c r="N12" s="22">
        <v>51</v>
      </c>
      <c r="Q12" t="s">
        <v>22</v>
      </c>
      <c r="R12" s="22" cm="1">
        <f t="array" ref="R12">SUMPRODUCT(--ISNUMBER(SEARCH(Q12,Table1[[#All],[epitirites]])))</f>
        <v>0</v>
      </c>
      <c r="T12" s="25"/>
      <c r="U12" s="25"/>
      <c r="Y12" s="18" t="s">
        <v>54</v>
      </c>
      <c r="Z12" s="18" t="s">
        <v>55</v>
      </c>
      <c r="AA12" s="19">
        <v>67</v>
      </c>
    </row>
    <row r="13" spans="1:27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H13" s="13" t="s">
        <v>511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19</v>
      </c>
      <c r="R13" s="22" cm="1">
        <f t="array" ref="R13">SUMPRODUCT(--ISNUMBER(SEARCH(Q13,Table1[[#All],[epitirites]])))</f>
        <v>0</v>
      </c>
      <c r="T13" s="25"/>
      <c r="U13" s="25"/>
      <c r="Y13" s="18" t="s">
        <v>338</v>
      </c>
      <c r="Z13" s="18" t="s">
        <v>339</v>
      </c>
      <c r="AA13" s="19">
        <v>8</v>
      </c>
    </row>
    <row r="14" spans="1:27" x14ac:dyDescent="0.25">
      <c r="A14" t="s">
        <v>40</v>
      </c>
      <c r="B14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512</v>
      </c>
      <c r="J14" s="22">
        <f t="shared" si="0"/>
        <v>45</v>
      </c>
      <c r="K14">
        <v>2</v>
      </c>
      <c r="L14" s="22">
        <f t="shared" si="2"/>
        <v>2</v>
      </c>
      <c r="M14" s="22">
        <f t="shared" si="1"/>
        <v>0</v>
      </c>
      <c r="N14" s="22">
        <v>43</v>
      </c>
      <c r="O14" s="22">
        <f>VLOOKUP(Table1[[#This Row],[course_name]],ΤΕΙ!I:J,2,FALSE)</f>
        <v>2</v>
      </c>
      <c r="Q14" t="s">
        <v>81</v>
      </c>
      <c r="R14" s="22" cm="1">
        <f t="array" ref="R14">SUMPRODUCT(--ISNUMBER(SEARCH(Q14,Table1[[#All],[epitirites]])))</f>
        <v>0</v>
      </c>
      <c r="T14" s="25"/>
      <c r="U14" s="25"/>
      <c r="Y14" s="18" t="s">
        <v>109</v>
      </c>
      <c r="Z14" s="18" t="s">
        <v>110</v>
      </c>
      <c r="AA14" s="19">
        <v>7</v>
      </c>
    </row>
    <row r="15" spans="1:27" x14ac:dyDescent="0.25">
      <c r="A15" t="s">
        <v>42</v>
      </c>
      <c r="B15" t="s">
        <v>43</v>
      </c>
      <c r="C15">
        <v>2</v>
      </c>
      <c r="D15" t="s">
        <v>25</v>
      </c>
      <c r="E15" s="1">
        <v>46204</v>
      </c>
      <c r="F15" s="2">
        <v>0.5</v>
      </c>
      <c r="H15" t="s">
        <v>512</v>
      </c>
      <c r="J15" s="22">
        <f t="shared" si="0"/>
        <v>55</v>
      </c>
      <c r="K15">
        <v>2</v>
      </c>
      <c r="L15" s="22">
        <f t="shared" si="2"/>
        <v>2</v>
      </c>
      <c r="M15" s="22">
        <f t="shared" si="1"/>
        <v>0</v>
      </c>
      <c r="N15" s="22">
        <v>55</v>
      </c>
      <c r="Q15" t="s">
        <v>91</v>
      </c>
      <c r="R15" s="27" cm="1">
        <f t="array" ref="R15">SUMPRODUCT(--ISNUMBER(SEARCH(Q15,Table1[[#All],[epitirites]])))</f>
        <v>0</v>
      </c>
      <c r="T15" s="25"/>
      <c r="U15" s="25"/>
      <c r="Y15" s="18" t="s">
        <v>87</v>
      </c>
      <c r="Z15" s="18" t="s">
        <v>88</v>
      </c>
      <c r="AA15" s="19">
        <v>40</v>
      </c>
    </row>
    <row r="16" spans="1:27" x14ac:dyDescent="0.25">
      <c r="A16" s="4" t="s">
        <v>44</v>
      </c>
      <c r="B16" t="s">
        <v>45</v>
      </c>
      <c r="C16">
        <v>3</v>
      </c>
      <c r="D16" s="13" t="s">
        <v>241</v>
      </c>
      <c r="E16" s="1">
        <v>46199</v>
      </c>
      <c r="F16" s="2">
        <v>0.375</v>
      </c>
      <c r="H16" t="s">
        <v>507</v>
      </c>
      <c r="J16" s="22">
        <f t="shared" si="0"/>
        <v>3</v>
      </c>
      <c r="K16"/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71</v>
      </c>
      <c r="R16" s="22" cm="1">
        <f t="array" ref="R16">SUMPRODUCT(--ISNUMBER(SEARCH(Q16,Table1[[#All],[epitirites]])))</f>
        <v>0</v>
      </c>
      <c r="T16" s="25"/>
      <c r="U16" s="25"/>
      <c r="Y16" s="18" t="s">
        <v>119</v>
      </c>
      <c r="Z16" s="18" t="s">
        <v>120</v>
      </c>
      <c r="AA16" s="19">
        <v>19</v>
      </c>
    </row>
    <row r="17" spans="1:27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J17" s="22">
        <f t="shared" si="0"/>
        <v>6</v>
      </c>
      <c r="K17"/>
      <c r="M17" s="22">
        <f t="shared" si="1"/>
        <v>0</v>
      </c>
      <c r="N17" s="22">
        <v>6</v>
      </c>
      <c r="Q17" t="s">
        <v>79</v>
      </c>
      <c r="R17" s="22" cm="1">
        <f t="array" ref="R17">SUMPRODUCT(--ISNUMBER(SEARCH(Q17,Table1[[#All],[epitirites]])))</f>
        <v>0</v>
      </c>
      <c r="T17" s="25"/>
      <c r="U17" s="25"/>
      <c r="Y17" s="18" t="s">
        <v>186</v>
      </c>
      <c r="Z17" s="18" t="s">
        <v>187</v>
      </c>
      <c r="AA17" s="19">
        <v>3</v>
      </c>
    </row>
    <row r="18" spans="1:27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J18" s="22">
        <f t="shared" si="0"/>
        <v>5</v>
      </c>
      <c r="K18"/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116</v>
      </c>
      <c r="R18" s="22" cm="1">
        <f t="array" ref="R18">SUMPRODUCT(--ISNUMBER(SEARCH(Q18,Table1[[#All],[epitirites]])))</f>
        <v>0</v>
      </c>
      <c r="T18" s="25"/>
      <c r="U18" s="25"/>
      <c r="Y18" s="18" t="s">
        <v>188</v>
      </c>
      <c r="Z18" s="18" t="s">
        <v>189</v>
      </c>
      <c r="AA18" s="19">
        <v>6</v>
      </c>
    </row>
    <row r="19" spans="1:27" x14ac:dyDescent="0.25">
      <c r="A19" s="4" t="s">
        <v>52</v>
      </c>
      <c r="B19" t="s">
        <v>53</v>
      </c>
      <c r="C19">
        <v>3</v>
      </c>
      <c r="D19" s="13" t="s">
        <v>33</v>
      </c>
      <c r="E19" s="1">
        <v>46195</v>
      </c>
      <c r="F19" s="2">
        <v>0.375</v>
      </c>
      <c r="H19" t="s">
        <v>507</v>
      </c>
      <c r="J19" s="22">
        <f t="shared" si="0"/>
        <v>6</v>
      </c>
      <c r="K19"/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135</v>
      </c>
      <c r="Z19" s="18" t="s">
        <v>136</v>
      </c>
      <c r="AA19" s="19">
        <v>3</v>
      </c>
    </row>
    <row r="20" spans="1:27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520</v>
      </c>
      <c r="J20" s="22">
        <f t="shared" si="0"/>
        <v>36</v>
      </c>
      <c r="K20">
        <v>1</v>
      </c>
      <c r="L20" s="22">
        <f>COUNTA(_xlfn.TEXTSPLIT(H20,","))</f>
        <v>2</v>
      </c>
      <c r="M20" s="22">
        <f t="shared" si="1"/>
        <v>-1</v>
      </c>
      <c r="N20" s="22">
        <v>36</v>
      </c>
      <c r="T20" s="25"/>
      <c r="U20" s="25"/>
      <c r="Y20" s="18" t="s">
        <v>183</v>
      </c>
      <c r="Z20" s="18" t="s">
        <v>184</v>
      </c>
      <c r="AA20" s="19">
        <v>4</v>
      </c>
    </row>
    <row r="21" spans="1:27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J21" s="22">
        <f t="shared" si="0"/>
        <v>10</v>
      </c>
      <c r="K21"/>
      <c r="M21" s="22">
        <f t="shared" si="1"/>
        <v>0</v>
      </c>
      <c r="N21" s="22">
        <v>10</v>
      </c>
      <c r="T21" s="25"/>
      <c r="U21" s="25"/>
      <c r="Y21" s="18" t="s">
        <v>108</v>
      </c>
      <c r="Z21" s="18" t="s">
        <v>221</v>
      </c>
      <c r="AA21" s="19">
        <v>4</v>
      </c>
    </row>
    <row r="22" spans="1:27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J22" s="22">
        <f t="shared" si="0"/>
        <v>4</v>
      </c>
      <c r="K22"/>
      <c r="M22" s="22">
        <f t="shared" si="1"/>
        <v>0</v>
      </c>
      <c r="N22" s="22">
        <v>4</v>
      </c>
      <c r="T22" s="25"/>
      <c r="U22" s="25"/>
      <c r="Y22" s="18" t="s">
        <v>46</v>
      </c>
      <c r="Z22" s="18" t="s">
        <v>47</v>
      </c>
      <c r="AA22" s="19">
        <v>33</v>
      </c>
    </row>
    <row r="23" spans="1:27" x14ac:dyDescent="0.25">
      <c r="A23" s="4" t="s">
        <v>61</v>
      </c>
      <c r="B23" t="s">
        <v>62</v>
      </c>
      <c r="C23">
        <v>4</v>
      </c>
      <c r="D23" t="s">
        <v>48</v>
      </c>
      <c r="E23" s="1">
        <v>46191</v>
      </c>
      <c r="F23" s="2">
        <v>0.375</v>
      </c>
      <c r="H23" t="s">
        <v>523</v>
      </c>
      <c r="J23" s="22">
        <f t="shared" si="0"/>
        <v>49</v>
      </c>
      <c r="K23">
        <v>2</v>
      </c>
      <c r="L23" s="22">
        <f t="shared" ref="L23:L28" si="3">COUNTA(_xlfn.TEXTSPLIT(H23,","))</f>
        <v>2</v>
      </c>
      <c r="M23" s="22">
        <f t="shared" si="1"/>
        <v>0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58</v>
      </c>
      <c r="Z23" s="18" t="s">
        <v>59</v>
      </c>
      <c r="AA23" s="19">
        <v>44</v>
      </c>
    </row>
    <row r="24" spans="1:27" x14ac:dyDescent="0.25">
      <c r="A24" s="4" t="s">
        <v>63</v>
      </c>
      <c r="B24" t="s">
        <v>64</v>
      </c>
      <c r="C24">
        <v>4</v>
      </c>
      <c r="D24" t="s">
        <v>65</v>
      </c>
      <c r="E24" s="1">
        <v>46188</v>
      </c>
      <c r="F24" s="3">
        <v>0.625</v>
      </c>
      <c r="H24" t="s">
        <v>511</v>
      </c>
      <c r="J24" s="22">
        <f t="shared" si="0"/>
        <v>73</v>
      </c>
      <c r="K24">
        <v>2</v>
      </c>
      <c r="L24" s="22">
        <f t="shared" si="3"/>
        <v>2</v>
      </c>
      <c r="M24" s="22">
        <f t="shared" si="1"/>
        <v>0</v>
      </c>
      <c r="N24" s="22">
        <v>73</v>
      </c>
      <c r="T24" s="25"/>
      <c r="U24" s="25"/>
      <c r="Y24" s="18" t="s">
        <v>105</v>
      </c>
      <c r="Z24" s="18" t="s">
        <v>313</v>
      </c>
      <c r="AA24" s="19">
        <v>38</v>
      </c>
    </row>
    <row r="25" spans="1:27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518</v>
      </c>
      <c r="J25" s="22">
        <f t="shared" si="0"/>
        <v>111</v>
      </c>
      <c r="K25">
        <v>3</v>
      </c>
      <c r="L25" s="22">
        <f t="shared" si="3"/>
        <v>3</v>
      </c>
      <c r="M25" s="22">
        <f t="shared" si="1"/>
        <v>0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82</v>
      </c>
      <c r="Z25" s="18" t="s">
        <v>83</v>
      </c>
      <c r="AA25" s="19">
        <v>44</v>
      </c>
    </row>
    <row r="26" spans="1:27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H26" t="s">
        <v>512</v>
      </c>
      <c r="J26" s="22">
        <f t="shared" si="0"/>
        <v>45</v>
      </c>
      <c r="K26">
        <v>2</v>
      </c>
      <c r="L26" s="22">
        <f t="shared" si="3"/>
        <v>2</v>
      </c>
      <c r="M26" s="22">
        <f t="shared" si="1"/>
        <v>0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52</v>
      </c>
      <c r="Z26" s="18" t="s">
        <v>53</v>
      </c>
      <c r="AA26" s="19">
        <v>18</v>
      </c>
    </row>
    <row r="27" spans="1:27" x14ac:dyDescent="0.25">
      <c r="A27" s="4" t="s">
        <v>72</v>
      </c>
      <c r="B27" t="s">
        <v>73</v>
      </c>
      <c r="C27">
        <v>4</v>
      </c>
      <c r="D27" t="s">
        <v>19</v>
      </c>
      <c r="E27" s="1">
        <v>46196</v>
      </c>
      <c r="F27" s="3">
        <v>0.625</v>
      </c>
      <c r="H27" t="s">
        <v>509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111</v>
      </c>
      <c r="Z27" s="18" t="s">
        <v>112</v>
      </c>
      <c r="AA27" s="19">
        <v>25</v>
      </c>
    </row>
    <row r="28" spans="1:27" x14ac:dyDescent="0.25">
      <c r="A28" s="4" t="s">
        <v>74</v>
      </c>
      <c r="B28" t="s">
        <v>75</v>
      </c>
      <c r="C28">
        <v>4</v>
      </c>
      <c r="D28" t="s">
        <v>76</v>
      </c>
      <c r="E28" s="1">
        <v>46183</v>
      </c>
      <c r="F28" s="3">
        <v>0.5</v>
      </c>
      <c r="H28" t="s">
        <v>512</v>
      </c>
      <c r="J28" s="22">
        <f t="shared" si="0"/>
        <v>70</v>
      </c>
      <c r="K28">
        <v>2</v>
      </c>
      <c r="L28" s="22">
        <f t="shared" si="3"/>
        <v>2</v>
      </c>
      <c r="M28" s="22">
        <f t="shared" si="1"/>
        <v>0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86</v>
      </c>
      <c r="Z28" s="18" t="s">
        <v>218</v>
      </c>
      <c r="AA28" s="19">
        <v>46</v>
      </c>
    </row>
    <row r="29" spans="1:27" x14ac:dyDescent="0.25">
      <c r="A29" s="4" t="s">
        <v>77</v>
      </c>
      <c r="B29" t="s">
        <v>78</v>
      </c>
      <c r="C29">
        <v>5</v>
      </c>
      <c r="D29" t="s">
        <v>79</v>
      </c>
      <c r="E29" s="1">
        <v>46190</v>
      </c>
      <c r="F29" s="2">
        <v>0.375</v>
      </c>
      <c r="J29" s="22">
        <f t="shared" si="0"/>
        <v>29</v>
      </c>
      <c r="K29"/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181</v>
      </c>
      <c r="Z29" s="18" t="s">
        <v>182</v>
      </c>
      <c r="AA29" s="19">
        <v>33</v>
      </c>
    </row>
    <row r="30" spans="1:27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J30" s="22">
        <f t="shared" si="0"/>
        <v>4</v>
      </c>
      <c r="K30"/>
      <c r="M30" s="22">
        <f t="shared" si="1"/>
        <v>0</v>
      </c>
      <c r="N30" s="22" t="s">
        <v>517</v>
      </c>
      <c r="O30" s="22">
        <f>VLOOKUP(Table1[[#This Row],[course_name]],ΤΕΙ!I:J,2,FALSE)</f>
        <v>4</v>
      </c>
      <c r="T30" s="25"/>
      <c r="U30" s="25"/>
      <c r="Y30" s="18" t="s">
        <v>179</v>
      </c>
      <c r="Z30" s="18" t="s">
        <v>180</v>
      </c>
      <c r="AA30" s="19">
        <v>61</v>
      </c>
    </row>
    <row r="31" spans="1:27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J31" s="22">
        <f t="shared" si="0"/>
        <v>23</v>
      </c>
      <c r="K31"/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49</v>
      </c>
      <c r="Z31" s="18" t="s">
        <v>50</v>
      </c>
      <c r="AA31" s="19">
        <v>24</v>
      </c>
    </row>
    <row r="32" spans="1:27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512</v>
      </c>
      <c r="J32" s="22">
        <f t="shared" si="0"/>
        <v>59</v>
      </c>
      <c r="K32" s="22">
        <v>2</v>
      </c>
      <c r="L32" s="22">
        <f>COUNTA(_xlfn.TEXTSPLIT(H32,","))</f>
        <v>2</v>
      </c>
      <c r="M32" s="22">
        <f t="shared" si="1"/>
        <v>0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80</v>
      </c>
      <c r="Z32" s="18" t="s">
        <v>217</v>
      </c>
      <c r="AA32" s="19">
        <v>21</v>
      </c>
    </row>
    <row r="33" spans="1:27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84</v>
      </c>
      <c r="Z33" s="18" t="s">
        <v>85</v>
      </c>
      <c r="AA33" s="19">
        <v>65</v>
      </c>
    </row>
    <row r="34" spans="1:27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J34" s="22">
        <f t="shared" si="0"/>
        <v>14</v>
      </c>
      <c r="M34" s="22">
        <f t="shared" si="1"/>
        <v>0</v>
      </c>
      <c r="N34" s="22">
        <v>14</v>
      </c>
      <c r="T34" s="25"/>
      <c r="U34" s="25"/>
      <c r="Y34" s="18" t="s">
        <v>106</v>
      </c>
      <c r="Z34" s="18" t="s">
        <v>107</v>
      </c>
      <c r="AA34" s="19">
        <v>55</v>
      </c>
    </row>
    <row r="35" spans="1:27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H35" t="s">
        <v>521</v>
      </c>
      <c r="J35" s="22">
        <f t="shared" si="0"/>
        <v>71</v>
      </c>
      <c r="K35" s="22">
        <v>2</v>
      </c>
      <c r="L35" s="22">
        <f t="shared" ref="L35:L41" si="4">COUNTA(_xlfn.TEXTSPLIT(H35,","))</f>
        <v>2</v>
      </c>
      <c r="M35" s="22">
        <f t="shared" si="1"/>
        <v>0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127</v>
      </c>
      <c r="Z35" s="18" t="s">
        <v>128</v>
      </c>
      <c r="AA35" s="19">
        <v>16</v>
      </c>
    </row>
    <row r="36" spans="1:27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H36" t="s">
        <v>510</v>
      </c>
      <c r="J36" s="22">
        <f t="shared" si="0"/>
        <v>57</v>
      </c>
      <c r="K36" s="22">
        <v>2</v>
      </c>
      <c r="L36" s="22">
        <f t="shared" si="4"/>
        <v>2</v>
      </c>
      <c r="M36" s="22">
        <f t="shared" si="1"/>
        <v>0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203</v>
      </c>
      <c r="Z36" s="18" t="s">
        <v>237</v>
      </c>
      <c r="AA36" s="19">
        <v>16</v>
      </c>
    </row>
    <row r="37" spans="1:27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H37" t="s">
        <v>510</v>
      </c>
      <c r="J37" s="22">
        <f t="shared" si="0"/>
        <v>46</v>
      </c>
      <c r="K37" s="22">
        <v>2</v>
      </c>
      <c r="L37" s="22">
        <f t="shared" si="4"/>
        <v>2</v>
      </c>
      <c r="M37" s="22">
        <f t="shared" si="1"/>
        <v>0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202</v>
      </c>
      <c r="Z37" s="18" t="s">
        <v>236</v>
      </c>
      <c r="AA37" s="19">
        <v>19</v>
      </c>
    </row>
    <row r="38" spans="1:27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522</v>
      </c>
      <c r="J38" s="22">
        <f t="shared" si="0"/>
        <v>91</v>
      </c>
      <c r="K38" s="22">
        <v>3</v>
      </c>
      <c r="L38" s="22">
        <f t="shared" si="4"/>
        <v>3</v>
      </c>
      <c r="M38" s="22">
        <f t="shared" si="1"/>
        <v>0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200</v>
      </c>
      <c r="Z38" s="18" t="s">
        <v>201</v>
      </c>
      <c r="AA38" s="19">
        <v>22</v>
      </c>
    </row>
    <row r="39" spans="1:27" x14ac:dyDescent="0.25">
      <c r="A39" s="4" t="s">
        <v>98</v>
      </c>
      <c r="B39" t="s">
        <v>219</v>
      </c>
      <c r="C39">
        <v>6</v>
      </c>
      <c r="D39" t="s">
        <v>516</v>
      </c>
      <c r="E39" s="1">
        <v>46197</v>
      </c>
      <c r="F39" s="2">
        <v>0.375</v>
      </c>
      <c r="H39" t="s">
        <v>503</v>
      </c>
      <c r="J39" s="22">
        <f t="shared" si="0"/>
        <v>30</v>
      </c>
      <c r="K39" s="22">
        <v>1</v>
      </c>
      <c r="L39" s="22">
        <f t="shared" si="4"/>
        <v>1</v>
      </c>
      <c r="M39" s="22">
        <f t="shared" si="1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124</v>
      </c>
      <c r="Z39" s="18" t="s">
        <v>125</v>
      </c>
      <c r="AA39" s="19">
        <v>18</v>
      </c>
    </row>
    <row r="40" spans="1:27" x14ac:dyDescent="0.25">
      <c r="A40" s="4" t="s">
        <v>100</v>
      </c>
      <c r="B40" t="s">
        <v>101</v>
      </c>
      <c r="C40">
        <v>6</v>
      </c>
      <c r="D40" t="s">
        <v>514</v>
      </c>
      <c r="E40" s="1">
        <v>46195</v>
      </c>
      <c r="F40" s="2">
        <v>0.75</v>
      </c>
      <c r="H40" t="s">
        <v>507</v>
      </c>
      <c r="J40" s="22">
        <f t="shared" si="0"/>
        <v>39</v>
      </c>
      <c r="K40" s="22">
        <v>1</v>
      </c>
      <c r="L40" s="22">
        <f t="shared" si="4"/>
        <v>1</v>
      </c>
      <c r="M40" s="22">
        <f t="shared" si="1"/>
        <v>0</v>
      </c>
      <c r="N40" s="22">
        <v>39</v>
      </c>
      <c r="T40" s="25"/>
      <c r="U40" s="25"/>
      <c r="Y40" s="18" t="s">
        <v>56</v>
      </c>
      <c r="Z40" s="18" t="s">
        <v>57</v>
      </c>
      <c r="AA40" s="19">
        <v>38</v>
      </c>
    </row>
    <row r="41" spans="1:27" x14ac:dyDescent="0.25">
      <c r="A41" s="4" t="s">
        <v>103</v>
      </c>
      <c r="B41" t="s">
        <v>104</v>
      </c>
      <c r="C41">
        <v>6</v>
      </c>
      <c r="D41" t="s">
        <v>65</v>
      </c>
      <c r="E41" s="1">
        <v>46189</v>
      </c>
      <c r="F41" s="2">
        <v>0.75</v>
      </c>
      <c r="H41" t="s">
        <v>511</v>
      </c>
      <c r="J41" s="22">
        <f t="shared" si="0"/>
        <v>40</v>
      </c>
      <c r="K41" s="22">
        <v>2</v>
      </c>
      <c r="L41" s="22">
        <f t="shared" si="4"/>
        <v>2</v>
      </c>
      <c r="M41" s="22">
        <f t="shared" si="1"/>
        <v>0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115</v>
      </c>
      <c r="Z41" s="18" t="s">
        <v>340</v>
      </c>
      <c r="AA41" s="19">
        <v>20</v>
      </c>
    </row>
    <row r="42" spans="1:27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J42" s="22">
        <f t="shared" si="0"/>
        <v>26</v>
      </c>
      <c r="M42" s="22">
        <f t="shared" si="1"/>
        <v>0</v>
      </c>
      <c r="N42" s="22">
        <v>24</v>
      </c>
      <c r="O42" s="22">
        <f>VLOOKUP(Table1[[#This Row],[course_name]],ΤΕΙ!I:J,2,FALSE)</f>
        <v>2</v>
      </c>
      <c r="T42" s="25"/>
      <c r="U42" s="25"/>
      <c r="Y42" s="18" t="s">
        <v>20</v>
      </c>
      <c r="Z42" s="18" t="s">
        <v>21</v>
      </c>
      <c r="AA42" s="21">
        <v>39</v>
      </c>
    </row>
    <row r="43" spans="1:27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68</v>
      </c>
      <c r="J43" s="22">
        <f t="shared" si="0"/>
        <v>31</v>
      </c>
      <c r="K43" s="22">
        <v>1</v>
      </c>
      <c r="L43" s="22">
        <f>COUNTA(_xlfn.TEXTSPLIT(H43,","))</f>
        <v>1</v>
      </c>
      <c r="M43" s="22">
        <f t="shared" si="1"/>
        <v>0</v>
      </c>
      <c r="N43" s="22">
        <v>31</v>
      </c>
      <c r="T43" s="25"/>
      <c r="U43" s="25"/>
      <c r="Y43" s="18" t="s">
        <v>23</v>
      </c>
      <c r="Z43" s="18" t="s">
        <v>24</v>
      </c>
      <c r="AA43" s="21">
        <v>53</v>
      </c>
    </row>
    <row r="44" spans="1:27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2</v>
      </c>
      <c r="M44" s="22">
        <f t="shared" si="1"/>
        <v>0</v>
      </c>
      <c r="N44" s="22">
        <v>2</v>
      </c>
      <c r="T44" s="25"/>
      <c r="U44" s="25"/>
      <c r="Y44" s="18" t="s">
        <v>208</v>
      </c>
      <c r="Z44" s="18" t="s">
        <v>209</v>
      </c>
      <c r="AA44" s="19">
        <v>18</v>
      </c>
    </row>
    <row r="45" spans="1:27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2</v>
      </c>
      <c r="M45" s="22">
        <f t="shared" si="1"/>
        <v>0</v>
      </c>
      <c r="N45" s="22">
        <v>2</v>
      </c>
      <c r="T45" s="25"/>
      <c r="U45" s="25"/>
      <c r="Y45" s="18" t="s">
        <v>77</v>
      </c>
      <c r="Z45" s="18" t="s">
        <v>78</v>
      </c>
      <c r="AA45" s="19">
        <v>53</v>
      </c>
    </row>
    <row r="46" spans="1:27" x14ac:dyDescent="0.25">
      <c r="A46" s="5" t="s">
        <v>111</v>
      </c>
      <c r="B46" t="s">
        <v>112</v>
      </c>
      <c r="C46">
        <v>7</v>
      </c>
      <c r="D46" t="s">
        <v>22</v>
      </c>
      <c r="E46" s="1">
        <v>46195</v>
      </c>
      <c r="F46" s="3">
        <v>0.5</v>
      </c>
      <c r="J46" s="22">
        <f t="shared" si="0"/>
        <v>4</v>
      </c>
      <c r="M46" s="22">
        <f t="shared" si="1"/>
        <v>0</v>
      </c>
      <c r="N46" s="22">
        <v>4</v>
      </c>
      <c r="T46" s="25"/>
      <c r="U46" s="25"/>
      <c r="Y46" s="18" t="s">
        <v>211</v>
      </c>
      <c r="Z46" s="18" t="s">
        <v>212</v>
      </c>
      <c r="AA46" s="19">
        <v>10</v>
      </c>
    </row>
    <row r="47" spans="1:27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M47" s="22">
        <f t="shared" si="1"/>
        <v>0</v>
      </c>
      <c r="N47" s="22" t="s">
        <v>517</v>
      </c>
      <c r="T47" s="25"/>
      <c r="U47" s="25"/>
      <c r="Y47" s="18" t="s">
        <v>196</v>
      </c>
      <c r="Z47" s="18" t="s">
        <v>341</v>
      </c>
      <c r="AA47" s="19">
        <v>5</v>
      </c>
    </row>
    <row r="48" spans="1:27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6</v>
      </c>
      <c r="M48" s="22">
        <f t="shared" si="1"/>
        <v>0</v>
      </c>
      <c r="N48" s="22">
        <v>6</v>
      </c>
      <c r="T48" s="25"/>
      <c r="U48" s="25"/>
      <c r="Y48" s="18" t="s">
        <v>138</v>
      </c>
      <c r="Z48" s="18" t="s">
        <v>139</v>
      </c>
      <c r="AA48" s="19">
        <v>3</v>
      </c>
    </row>
    <row r="49" spans="1:27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1</v>
      </c>
      <c r="M49" s="22">
        <f t="shared" si="1"/>
        <v>0</v>
      </c>
      <c r="N49" s="22">
        <v>1</v>
      </c>
      <c r="T49" s="25"/>
      <c r="U49" s="25"/>
      <c r="Y49" s="18" t="s">
        <v>17</v>
      </c>
      <c r="Z49" s="18" t="s">
        <v>18</v>
      </c>
      <c r="AA49" s="21">
        <v>51</v>
      </c>
    </row>
    <row r="50" spans="1:27" x14ac:dyDescent="0.25">
      <c r="A50" s="5" t="s">
        <v>119</v>
      </c>
      <c r="B50" t="s">
        <v>120</v>
      </c>
      <c r="C50">
        <v>7</v>
      </c>
      <c r="D50" s="13" t="s">
        <v>241</v>
      </c>
      <c r="E50" s="1">
        <v>46199</v>
      </c>
      <c r="F50" s="2">
        <v>0.75</v>
      </c>
      <c r="H50" t="s">
        <v>509</v>
      </c>
      <c r="J50" s="22">
        <f t="shared" si="0"/>
        <v>3</v>
      </c>
      <c r="M50" s="22">
        <f t="shared" si="1"/>
        <v>0</v>
      </c>
      <c r="N50" s="22">
        <v>3</v>
      </c>
      <c r="T50" s="25"/>
      <c r="U50" s="25"/>
      <c r="Y50" s="18" t="s">
        <v>144</v>
      </c>
      <c r="Z50" s="18" t="s">
        <v>225</v>
      </c>
      <c r="AA50" s="19">
        <v>2</v>
      </c>
    </row>
    <row r="51" spans="1:27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M51" s="22">
        <f t="shared" si="1"/>
        <v>0</v>
      </c>
      <c r="N51" s="22" t="s">
        <v>517</v>
      </c>
      <c r="T51" s="25"/>
      <c r="U51" s="25"/>
      <c r="Y51" s="18" t="s">
        <v>141</v>
      </c>
      <c r="Z51" s="18" t="s">
        <v>142</v>
      </c>
      <c r="AA51" s="19">
        <v>8</v>
      </c>
    </row>
    <row r="52" spans="1:27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J52" s="22">
        <f t="shared" si="0"/>
        <v>3</v>
      </c>
      <c r="M52" s="22">
        <f t="shared" si="1"/>
        <v>0</v>
      </c>
      <c r="N52" s="22">
        <v>3</v>
      </c>
      <c r="T52" s="25"/>
      <c r="U52" s="25"/>
      <c r="Y52" s="18" t="s">
        <v>61</v>
      </c>
      <c r="Z52" s="18" t="s">
        <v>62</v>
      </c>
      <c r="AA52" s="19">
        <v>2</v>
      </c>
    </row>
    <row r="53" spans="1:27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</v>
      </c>
      <c r="M53" s="22">
        <f t="shared" si="1"/>
        <v>0</v>
      </c>
      <c r="N53" s="22">
        <v>1</v>
      </c>
      <c r="T53" s="25"/>
      <c r="U53" s="25"/>
      <c r="Y53" s="18" t="s">
        <v>34</v>
      </c>
      <c r="Z53" s="18" t="s">
        <v>35</v>
      </c>
      <c r="AA53" s="19">
        <v>11</v>
      </c>
    </row>
    <row r="54" spans="1:27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2</v>
      </c>
      <c r="M54" s="22">
        <f t="shared" si="1"/>
        <v>0</v>
      </c>
      <c r="N54" s="22">
        <v>2</v>
      </c>
      <c r="T54" s="25"/>
      <c r="U54" s="25"/>
      <c r="Y54" s="18" t="s">
        <v>36</v>
      </c>
      <c r="Z54" s="18" t="s">
        <v>37</v>
      </c>
      <c r="AA54" s="19">
        <v>1</v>
      </c>
    </row>
    <row r="55" spans="1:27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M55" s="22">
        <f t="shared" si="1"/>
        <v>0</v>
      </c>
      <c r="N55" s="22" t="s">
        <v>517</v>
      </c>
      <c r="T55" s="25"/>
      <c r="U55" s="25"/>
      <c r="Y55" s="18" t="s">
        <v>96</v>
      </c>
      <c r="Z55" s="18" t="s">
        <v>97</v>
      </c>
      <c r="AA55" s="19">
        <v>9</v>
      </c>
    </row>
    <row r="56" spans="1:27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M56" s="22">
        <f t="shared" si="1"/>
        <v>0</v>
      </c>
      <c r="N56" s="22" t="s">
        <v>517</v>
      </c>
      <c r="T56" s="25"/>
      <c r="U56" s="25"/>
      <c r="Y56" s="18" t="s">
        <v>69</v>
      </c>
      <c r="Z56" s="18" t="s">
        <v>70</v>
      </c>
      <c r="AA56" s="19">
        <v>1</v>
      </c>
    </row>
    <row r="57" spans="1:27" x14ac:dyDescent="0.25">
      <c r="A57" s="5" t="s">
        <v>133</v>
      </c>
      <c r="B57" t="s">
        <v>134</v>
      </c>
      <c r="C57">
        <v>7</v>
      </c>
      <c r="D57" t="s">
        <v>514</v>
      </c>
      <c r="E57" s="1">
        <v>46195</v>
      </c>
      <c r="F57" s="3">
        <v>0.5</v>
      </c>
      <c r="J57" s="22">
        <f t="shared" si="0"/>
        <v>2</v>
      </c>
      <c r="M57" s="22">
        <f t="shared" si="1"/>
        <v>0</v>
      </c>
      <c r="N57" s="22">
        <v>2</v>
      </c>
      <c r="T57" s="25"/>
      <c r="U57" s="25"/>
      <c r="Y57" s="18" t="s">
        <v>164</v>
      </c>
      <c r="Z57" s="18" t="s">
        <v>165</v>
      </c>
      <c r="AA57" s="19">
        <v>1</v>
      </c>
    </row>
    <row r="58" spans="1:27" x14ac:dyDescent="0.25">
      <c r="A58" s="5" t="s">
        <v>135</v>
      </c>
      <c r="B58" t="s">
        <v>136</v>
      </c>
      <c r="C58">
        <v>7</v>
      </c>
      <c r="D58" s="13" t="s">
        <v>137</v>
      </c>
      <c r="E58" s="1">
        <v>46199</v>
      </c>
      <c r="F58" s="2">
        <v>0.75</v>
      </c>
      <c r="H58" t="s">
        <v>509</v>
      </c>
      <c r="J58" s="22">
        <f t="shared" si="0"/>
        <v>1</v>
      </c>
      <c r="M58" s="22">
        <f t="shared" si="1"/>
        <v>0</v>
      </c>
      <c r="N58" s="22">
        <v>1</v>
      </c>
      <c r="T58" s="25"/>
      <c r="U58" s="25"/>
      <c r="Y58" s="18" t="s">
        <v>92</v>
      </c>
      <c r="Z58" s="18" t="s">
        <v>93</v>
      </c>
      <c r="AA58" s="19">
        <v>2</v>
      </c>
    </row>
    <row r="59" spans="1:27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0</v>
      </c>
      <c r="M59" s="22">
        <f t="shared" si="1"/>
        <v>0</v>
      </c>
      <c r="N59" s="22" t="s">
        <v>517</v>
      </c>
      <c r="T59" s="25"/>
      <c r="U59" s="25"/>
      <c r="Y59" s="18" t="s">
        <v>89</v>
      </c>
      <c r="Z59" s="18" t="s">
        <v>90</v>
      </c>
      <c r="AA59" s="19">
        <v>8</v>
      </c>
    </row>
    <row r="60" spans="1:27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H60" t="s">
        <v>511</v>
      </c>
      <c r="J60" s="22">
        <f t="shared" si="0"/>
        <v>56</v>
      </c>
      <c r="K60" s="22">
        <v>2</v>
      </c>
      <c r="L60" s="22">
        <f>COUNTA(_xlfn.TEXTSPLIT(H60,","))</f>
        <v>2</v>
      </c>
      <c r="M60" s="22">
        <f t="shared" si="1"/>
        <v>0</v>
      </c>
      <c r="N60" s="22">
        <v>56</v>
      </c>
      <c r="T60" s="25"/>
      <c r="U60" s="25"/>
      <c r="Y60" s="18" t="s">
        <v>63</v>
      </c>
      <c r="Z60" s="18" t="s">
        <v>64</v>
      </c>
      <c r="AA60" s="19">
        <v>1</v>
      </c>
    </row>
    <row r="61" spans="1:27" x14ac:dyDescent="0.25">
      <c r="A61" s="4" t="s">
        <v>141</v>
      </c>
      <c r="B61" t="s">
        <v>142</v>
      </c>
      <c r="C61">
        <v>8</v>
      </c>
      <c r="D61" t="s">
        <v>513</v>
      </c>
      <c r="E61" s="1">
        <v>46197</v>
      </c>
      <c r="F61" s="2">
        <v>0.75</v>
      </c>
      <c r="H61" t="s">
        <v>512</v>
      </c>
      <c r="J61" s="22">
        <f t="shared" si="0"/>
        <v>63</v>
      </c>
      <c r="K61" s="22">
        <v>2</v>
      </c>
      <c r="L61" s="22">
        <f>COUNTA(_xlfn.TEXTSPLIT(H61,","))</f>
        <v>2</v>
      </c>
      <c r="M61" s="22">
        <f t="shared" si="1"/>
        <v>0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94</v>
      </c>
      <c r="Z61" s="18" t="s">
        <v>95</v>
      </c>
      <c r="AA61" s="19">
        <v>2</v>
      </c>
    </row>
    <row r="62" spans="1:27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510</v>
      </c>
      <c r="J62" s="22">
        <f t="shared" si="0"/>
        <v>65</v>
      </c>
      <c r="K62" s="22">
        <v>2</v>
      </c>
      <c r="L62" s="22">
        <f>COUNTA(_xlfn.TEXTSPLIT(H62,","))</f>
        <v>2</v>
      </c>
      <c r="M62" s="22">
        <f t="shared" si="1"/>
        <v>0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74</v>
      </c>
      <c r="Z62" s="18" t="s">
        <v>75</v>
      </c>
      <c r="AA62" s="19">
        <v>4</v>
      </c>
    </row>
    <row r="63" spans="1:27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18</v>
      </c>
      <c r="M63" s="22">
        <f t="shared" si="1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140</v>
      </c>
      <c r="Z63" s="18" t="s">
        <v>224</v>
      </c>
      <c r="AA63" s="19">
        <v>3</v>
      </c>
    </row>
    <row r="64" spans="1:27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9</v>
      </c>
      <c r="M64" s="22">
        <f t="shared" si="1"/>
        <v>0</v>
      </c>
      <c r="N64" s="22">
        <v>9</v>
      </c>
      <c r="T64" s="25"/>
      <c r="U64" s="25"/>
      <c r="Y64" s="18" t="s">
        <v>31</v>
      </c>
      <c r="Z64" s="18" t="s">
        <v>32</v>
      </c>
      <c r="AA64" s="19">
        <v>16</v>
      </c>
    </row>
    <row r="65" spans="1:27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9</v>
      </c>
      <c r="M65" s="22">
        <f t="shared" si="1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40</v>
      </c>
      <c r="Z65" s="18" t="s">
        <v>343</v>
      </c>
      <c r="AA65" s="19">
        <v>1</v>
      </c>
    </row>
    <row r="66" spans="1:27" x14ac:dyDescent="0.25">
      <c r="A66" s="5" t="s">
        <v>150</v>
      </c>
      <c r="B66" t="s">
        <v>151</v>
      </c>
      <c r="C66">
        <v>8</v>
      </c>
      <c r="J66" s="22">
        <f t="shared" ref="J66:J101" si="5">SUM(N66:O66)</f>
        <v>0</v>
      </c>
      <c r="M66" s="22">
        <f t="shared" si="1"/>
        <v>0</v>
      </c>
      <c r="N66" s="22" t="s">
        <v>517</v>
      </c>
      <c r="T66" s="25"/>
      <c r="U66" s="25"/>
      <c r="Y66" s="18" t="s">
        <v>145</v>
      </c>
      <c r="Z66" s="18" t="s">
        <v>146</v>
      </c>
      <c r="AA66" s="19">
        <v>1</v>
      </c>
    </row>
    <row r="67" spans="1:27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5"/>
        <v>12</v>
      </c>
      <c r="M67" s="22">
        <f t="shared" si="1"/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66</v>
      </c>
      <c r="Z67" s="18" t="s">
        <v>67</v>
      </c>
      <c r="AA67" s="19">
        <v>20</v>
      </c>
    </row>
    <row r="68" spans="1:27" x14ac:dyDescent="0.25">
      <c r="A68" s="5" t="s">
        <v>153</v>
      </c>
      <c r="B68" t="s">
        <v>154</v>
      </c>
      <c r="C68">
        <v>8</v>
      </c>
      <c r="J68" s="22">
        <f t="shared" si="5"/>
        <v>0</v>
      </c>
      <c r="M68" s="22">
        <f t="shared" ref="M68:M102" si="6">K68-L68</f>
        <v>0</v>
      </c>
      <c r="N68" s="22" t="s">
        <v>517</v>
      </c>
      <c r="T68" s="25"/>
      <c r="U68" s="25"/>
      <c r="Y68" s="18" t="s">
        <v>42</v>
      </c>
      <c r="Z68" s="18" t="s">
        <v>43</v>
      </c>
      <c r="AA68" s="19">
        <v>1</v>
      </c>
    </row>
    <row r="69" spans="1:27" x14ac:dyDescent="0.25">
      <c r="A69" s="5" t="s">
        <v>155</v>
      </c>
      <c r="B69" t="s">
        <v>156</v>
      </c>
      <c r="C69">
        <v>8</v>
      </c>
      <c r="D69" t="s">
        <v>515</v>
      </c>
      <c r="E69" s="1">
        <v>46182</v>
      </c>
      <c r="F69" s="3">
        <v>0.5</v>
      </c>
      <c r="J69" s="22">
        <f t="shared" si="5"/>
        <v>8</v>
      </c>
      <c r="M69" s="22">
        <f t="shared" si="6"/>
        <v>0</v>
      </c>
      <c r="N69" s="22">
        <v>8</v>
      </c>
      <c r="T69" s="25"/>
      <c r="U69" s="25"/>
      <c r="Y69" s="18" t="s">
        <v>103</v>
      </c>
      <c r="Z69" s="18" t="s">
        <v>104</v>
      </c>
      <c r="AA69" s="19">
        <v>4</v>
      </c>
    </row>
    <row r="70" spans="1:27" x14ac:dyDescent="0.25">
      <c r="A70" s="5" t="s">
        <v>158</v>
      </c>
      <c r="B70" t="s">
        <v>159</v>
      </c>
      <c r="C70">
        <v>8</v>
      </c>
      <c r="D70" t="s">
        <v>515</v>
      </c>
      <c r="E70" s="1">
        <v>46192</v>
      </c>
      <c r="F70" s="3">
        <v>0.5</v>
      </c>
      <c r="H70" t="s">
        <v>512</v>
      </c>
      <c r="J70" s="22">
        <f t="shared" si="5"/>
        <v>46</v>
      </c>
      <c r="K70" s="22">
        <v>2</v>
      </c>
      <c r="L70" s="22">
        <f>COUNTA(_xlfn.TEXTSPLIT(H70,","))</f>
        <v>2</v>
      </c>
      <c r="M70" s="22">
        <f t="shared" si="6"/>
        <v>0</v>
      </c>
      <c r="N70" s="22">
        <v>46</v>
      </c>
      <c r="T70" s="25"/>
      <c r="U70" s="25"/>
      <c r="Y70" s="18" t="s">
        <v>100</v>
      </c>
      <c r="Z70" s="18" t="s">
        <v>101</v>
      </c>
      <c r="AA70" s="19">
        <v>2</v>
      </c>
    </row>
    <row r="71" spans="1:27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5"/>
        <v>6</v>
      </c>
      <c r="M71" s="22">
        <f t="shared" si="6"/>
        <v>0</v>
      </c>
      <c r="N71" s="22">
        <v>6</v>
      </c>
      <c r="T71" s="25"/>
      <c r="U71" s="25"/>
    </row>
    <row r="72" spans="1:27" x14ac:dyDescent="0.25">
      <c r="A72" s="5" t="s">
        <v>162</v>
      </c>
      <c r="B72" t="s">
        <v>163</v>
      </c>
      <c r="C72">
        <v>8</v>
      </c>
      <c r="J72" s="22">
        <f t="shared" si="5"/>
        <v>0</v>
      </c>
      <c r="M72" s="22">
        <f t="shared" si="6"/>
        <v>0</v>
      </c>
      <c r="N72" s="22" t="s">
        <v>517</v>
      </c>
      <c r="T72" s="25"/>
      <c r="U72" s="25"/>
    </row>
    <row r="73" spans="1:27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5"/>
        <v>24</v>
      </c>
      <c r="M73" s="22">
        <f t="shared" si="6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H74" t="s">
        <v>507</v>
      </c>
      <c r="J74" s="22">
        <f t="shared" si="5"/>
        <v>38</v>
      </c>
      <c r="K74" s="22">
        <v>1</v>
      </c>
      <c r="L74" s="22">
        <f>COUNTA(_xlfn.TEXTSPLIT(H74,","))</f>
        <v>1</v>
      </c>
      <c r="M74" s="22">
        <f t="shared" si="6"/>
        <v>0</v>
      </c>
      <c r="N74" s="22">
        <v>38</v>
      </c>
      <c r="T74" s="25"/>
      <c r="U74" s="25"/>
    </row>
    <row r="75" spans="1:27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H75" t="s">
        <v>507</v>
      </c>
      <c r="J75" s="22">
        <f t="shared" si="5"/>
        <v>38</v>
      </c>
      <c r="K75" s="22">
        <v>1</v>
      </c>
      <c r="L75" s="22">
        <f>COUNTA(_xlfn.TEXTSPLIT(H75,","))</f>
        <v>1</v>
      </c>
      <c r="M75" s="22">
        <f t="shared" si="6"/>
        <v>0</v>
      </c>
      <c r="N75" s="22">
        <v>38</v>
      </c>
      <c r="T75" s="25"/>
      <c r="U75" s="25"/>
    </row>
    <row r="76" spans="1:27" x14ac:dyDescent="0.25">
      <c r="A76" s="5" t="s">
        <v>170</v>
      </c>
      <c r="B76" t="s">
        <v>229</v>
      </c>
      <c r="C76">
        <v>8</v>
      </c>
      <c r="J76" s="22">
        <f t="shared" si="5"/>
        <v>0</v>
      </c>
      <c r="M76" s="22">
        <f t="shared" si="6"/>
        <v>0</v>
      </c>
      <c r="N76" s="22" t="s">
        <v>517</v>
      </c>
      <c r="T76" s="25"/>
      <c r="U76" s="25"/>
    </row>
    <row r="77" spans="1:27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5"/>
        <v>18</v>
      </c>
      <c r="M77" s="22">
        <f t="shared" si="6"/>
        <v>0</v>
      </c>
      <c r="N77" s="22">
        <v>18</v>
      </c>
      <c r="T77" s="25"/>
      <c r="U77" s="25"/>
    </row>
    <row r="78" spans="1:27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5"/>
        <v>20</v>
      </c>
      <c r="M78" s="22">
        <f t="shared" si="6"/>
        <v>0</v>
      </c>
      <c r="N78" s="22">
        <v>20</v>
      </c>
      <c r="T78" s="25"/>
      <c r="U78" s="25"/>
    </row>
    <row r="79" spans="1:27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5"/>
        <v>12</v>
      </c>
      <c r="M79" s="22">
        <f t="shared" si="6"/>
        <v>0</v>
      </c>
      <c r="N79" s="22">
        <v>12</v>
      </c>
      <c r="T79" s="25"/>
      <c r="U79" s="25"/>
    </row>
    <row r="80" spans="1:27" x14ac:dyDescent="0.25">
      <c r="A80" s="5" t="s">
        <v>178</v>
      </c>
      <c r="B80" t="s">
        <v>230</v>
      </c>
      <c r="C80">
        <v>8</v>
      </c>
      <c r="J80" s="22">
        <f t="shared" si="5"/>
        <v>0</v>
      </c>
      <c r="M80" s="22">
        <f t="shared" si="6"/>
        <v>0</v>
      </c>
      <c r="N80" s="22" t="s">
        <v>517</v>
      </c>
      <c r="T80" s="25"/>
      <c r="U80" s="25"/>
    </row>
    <row r="81" spans="1:21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503</v>
      </c>
      <c r="J81" s="22">
        <f t="shared" si="5"/>
        <v>31</v>
      </c>
      <c r="K81" s="22">
        <v>1</v>
      </c>
      <c r="L81" s="22">
        <f>COUNTA(_xlfn.TEXTSPLIT(H81,","))</f>
        <v>1</v>
      </c>
      <c r="M81" s="22">
        <f t="shared" si="6"/>
        <v>0</v>
      </c>
      <c r="N81" s="22">
        <v>31</v>
      </c>
      <c r="T81" s="25"/>
      <c r="U81" s="25"/>
    </row>
    <row r="82" spans="1:21" x14ac:dyDescent="0.25">
      <c r="A82" s="5" t="s">
        <v>181</v>
      </c>
      <c r="B82" t="s">
        <v>182</v>
      </c>
      <c r="C82">
        <v>9</v>
      </c>
      <c r="D82" t="s">
        <v>99</v>
      </c>
      <c r="E82" s="1">
        <v>46195</v>
      </c>
      <c r="F82" s="3">
        <v>0.625</v>
      </c>
      <c r="J82" s="22">
        <f t="shared" si="5"/>
        <v>4</v>
      </c>
      <c r="M82" s="22">
        <f t="shared" si="6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5"/>
        <v>6</v>
      </c>
      <c r="M83" s="22">
        <f t="shared" si="6"/>
        <v>0</v>
      </c>
      <c r="N83" s="22" t="s">
        <v>517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5"/>
        <v>4</v>
      </c>
      <c r="M84" s="22">
        <f t="shared" si="6"/>
        <v>0</v>
      </c>
      <c r="N84" s="22">
        <v>4</v>
      </c>
      <c r="T84" s="25"/>
      <c r="U84" s="25"/>
    </row>
    <row r="85" spans="1:21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5"/>
        <v>0</v>
      </c>
      <c r="M85" s="22">
        <f t="shared" si="6"/>
        <v>0</v>
      </c>
      <c r="N85" s="22" t="s">
        <v>517</v>
      </c>
      <c r="T85" s="25"/>
      <c r="U85" s="25"/>
    </row>
    <row r="86" spans="1:21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5"/>
        <v>6</v>
      </c>
      <c r="M86" s="22">
        <f t="shared" si="6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190</v>
      </c>
      <c r="B87" t="s">
        <v>191</v>
      </c>
      <c r="C87">
        <v>9</v>
      </c>
      <c r="J87" s="22">
        <f t="shared" si="5"/>
        <v>2</v>
      </c>
      <c r="M87" s="22">
        <f t="shared" si="6"/>
        <v>0</v>
      </c>
      <c r="N87" s="22" t="s">
        <v>517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192</v>
      </c>
      <c r="B88" t="s">
        <v>232</v>
      </c>
      <c r="C88">
        <v>9</v>
      </c>
      <c r="J88" s="22">
        <f t="shared" si="5"/>
        <v>0</v>
      </c>
      <c r="M88" s="22">
        <f t="shared" si="6"/>
        <v>0</v>
      </c>
      <c r="N88" s="22" t="s">
        <v>517</v>
      </c>
      <c r="T88" s="25"/>
      <c r="U88" s="25"/>
    </row>
    <row r="89" spans="1:21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J89" s="22">
        <f t="shared" si="5"/>
        <v>0</v>
      </c>
      <c r="M89" s="22">
        <f t="shared" si="6"/>
        <v>0</v>
      </c>
      <c r="N89" s="22" t="s">
        <v>517</v>
      </c>
      <c r="T89" s="25"/>
      <c r="U89" s="25"/>
    </row>
    <row r="90" spans="1:21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5"/>
        <v>2</v>
      </c>
      <c r="M90" s="22">
        <f t="shared" si="6"/>
        <v>0</v>
      </c>
      <c r="N90" s="22">
        <v>2</v>
      </c>
      <c r="T90" s="25"/>
      <c r="U90" s="25"/>
    </row>
    <row r="91" spans="1:21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J91" s="22">
        <f t="shared" si="5"/>
        <v>0</v>
      </c>
      <c r="M91" s="22">
        <f t="shared" si="6"/>
        <v>0</v>
      </c>
      <c r="N91" s="22" t="s">
        <v>517</v>
      </c>
      <c r="T91" s="25"/>
      <c r="U91" s="25"/>
    </row>
    <row r="92" spans="1:21" x14ac:dyDescent="0.25">
      <c r="A92" s="5" t="s">
        <v>197</v>
      </c>
      <c r="B92" t="s">
        <v>235</v>
      </c>
      <c r="C92">
        <v>9</v>
      </c>
      <c r="J92" s="22">
        <f t="shared" si="5"/>
        <v>0</v>
      </c>
      <c r="M92" s="22">
        <f t="shared" si="6"/>
        <v>0</v>
      </c>
      <c r="N92" s="22" t="s">
        <v>517</v>
      </c>
      <c r="T92" s="25"/>
      <c r="U92" s="25"/>
    </row>
    <row r="93" spans="1:21" x14ac:dyDescent="0.25">
      <c r="A93" s="5" t="s">
        <v>198</v>
      </c>
      <c r="B93" t="s">
        <v>199</v>
      </c>
      <c r="C93">
        <v>9</v>
      </c>
      <c r="J93" s="22">
        <f t="shared" si="5"/>
        <v>0</v>
      </c>
      <c r="M93" s="22">
        <f t="shared" si="6"/>
        <v>0</v>
      </c>
      <c r="N93" s="22" t="s">
        <v>517</v>
      </c>
      <c r="T93" s="25"/>
      <c r="U93" s="25"/>
    </row>
    <row r="94" spans="1:21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5"/>
        <v>10</v>
      </c>
      <c r="M94" s="22">
        <f t="shared" si="6"/>
        <v>0</v>
      </c>
      <c r="N94" s="22">
        <v>10</v>
      </c>
      <c r="T94" s="25"/>
      <c r="U94" s="25"/>
    </row>
    <row r="95" spans="1:21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5"/>
        <v>7</v>
      </c>
      <c r="M95" s="22">
        <f t="shared" si="6"/>
        <v>0</v>
      </c>
      <c r="N95" s="22">
        <v>7</v>
      </c>
      <c r="T95" s="25"/>
      <c r="U95" s="25"/>
    </row>
    <row r="96" spans="1:21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5"/>
        <v>8</v>
      </c>
      <c r="M96" s="22">
        <f t="shared" si="6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204</v>
      </c>
      <c r="B97" t="s">
        <v>205</v>
      </c>
      <c r="C97">
        <v>9</v>
      </c>
      <c r="J97" s="22">
        <f t="shared" si="5"/>
        <v>0</v>
      </c>
      <c r="M97" s="22">
        <f t="shared" si="6"/>
        <v>0</v>
      </c>
      <c r="N97" s="22" t="s">
        <v>517</v>
      </c>
      <c r="T97" s="25"/>
      <c r="U97" s="25"/>
    </row>
    <row r="98" spans="1:21" x14ac:dyDescent="0.25">
      <c r="A98" s="5" t="s">
        <v>206</v>
      </c>
      <c r="B98" t="s">
        <v>207</v>
      </c>
      <c r="C98">
        <v>9</v>
      </c>
      <c r="J98" s="22">
        <f t="shared" si="5"/>
        <v>0</v>
      </c>
      <c r="M98" s="22">
        <f t="shared" si="6"/>
        <v>0</v>
      </c>
      <c r="N98" s="22" t="s">
        <v>517</v>
      </c>
      <c r="T98" s="25"/>
      <c r="U98" s="25"/>
    </row>
    <row r="99" spans="1:21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5"/>
        <v>3</v>
      </c>
      <c r="M99" s="22">
        <f t="shared" si="6"/>
        <v>0</v>
      </c>
      <c r="N99" s="22">
        <v>3</v>
      </c>
      <c r="T99" s="25"/>
      <c r="U99" s="25"/>
    </row>
    <row r="100" spans="1:21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5"/>
        <v>0</v>
      </c>
      <c r="M100" s="22">
        <f t="shared" si="6"/>
        <v>0</v>
      </c>
      <c r="N100" s="22" t="s">
        <v>517</v>
      </c>
      <c r="T100" s="25"/>
      <c r="U100" s="25"/>
    </row>
    <row r="101" spans="1:21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5"/>
        <v>1</v>
      </c>
      <c r="M101" s="22">
        <f t="shared" si="6"/>
        <v>0</v>
      </c>
      <c r="N101" s="22">
        <v>1</v>
      </c>
      <c r="T101" s="25"/>
      <c r="U101" s="25"/>
    </row>
    <row r="102" spans="1:21" x14ac:dyDescent="0.25">
      <c r="A102" s="5" t="s">
        <v>213</v>
      </c>
      <c r="B102" t="s">
        <v>239</v>
      </c>
      <c r="C102">
        <v>9</v>
      </c>
      <c r="M102" s="22">
        <f t="shared" si="6"/>
        <v>0</v>
      </c>
      <c r="N102" s="22" t="s">
        <v>517</v>
      </c>
      <c r="T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15</v>
      </c>
      <c r="N2" s="18" t="s">
        <v>347</v>
      </c>
      <c r="O2" s="18" t="s">
        <v>348</v>
      </c>
      <c r="P2" s="19">
        <v>15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46184</v>
      </c>
      <c r="F3" s="17">
        <v>0.5</v>
      </c>
      <c r="I3" t="s">
        <v>27</v>
      </c>
      <c r="J3">
        <v>5</v>
      </c>
      <c r="N3" s="18" t="s">
        <v>349</v>
      </c>
      <c r="O3" s="18" t="s">
        <v>350</v>
      </c>
      <c r="P3" s="19">
        <v>5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4</v>
      </c>
      <c r="N4" s="18" t="s">
        <v>351</v>
      </c>
      <c r="O4" s="18" t="s">
        <v>352</v>
      </c>
      <c r="P4" s="19">
        <v>5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4</v>
      </c>
      <c r="N5" s="18" t="s">
        <v>353</v>
      </c>
      <c r="O5" s="18" t="s">
        <v>354</v>
      </c>
      <c r="P5" s="19">
        <v>4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4</v>
      </c>
      <c r="N6" s="18" t="s">
        <v>355</v>
      </c>
      <c r="O6" s="18" t="s">
        <v>356</v>
      </c>
      <c r="P6" s="19">
        <v>2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46196</v>
      </c>
      <c r="F7" s="15">
        <f>VLOOKUP($I7,Table1[[#All],[course_name]:[epitirites]],5,FALSE)</f>
        <v>0.5</v>
      </c>
      <c r="I7" t="s">
        <v>18</v>
      </c>
      <c r="J7">
        <v>4</v>
      </c>
      <c r="N7" s="18" t="s">
        <v>357</v>
      </c>
      <c r="O7" s="18" t="s">
        <v>358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17</v>
      </c>
      <c r="N8" s="18" t="s">
        <v>359</v>
      </c>
      <c r="O8" s="18" t="s">
        <v>360</v>
      </c>
      <c r="P8" s="19">
        <v>3</v>
      </c>
    </row>
    <row r="9" spans="1:16" x14ac:dyDescent="0.25">
      <c r="A9" t="s">
        <v>330</v>
      </c>
      <c r="B9" t="s">
        <v>293</v>
      </c>
      <c r="C9" s="22">
        <v>2</v>
      </c>
      <c r="D9" s="13" t="s">
        <v>11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2</v>
      </c>
      <c r="N9" s="18" t="s">
        <v>361</v>
      </c>
      <c r="O9" s="18" t="s">
        <v>362</v>
      </c>
      <c r="P9" s="19">
        <v>4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3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</v>
      </c>
      <c r="N11" s="18" t="s">
        <v>365</v>
      </c>
      <c r="O11" s="18" t="s">
        <v>366</v>
      </c>
      <c r="P11" s="19">
        <v>4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46191</v>
      </c>
      <c r="F12" s="15">
        <f>VLOOKUP($I12,Table1[[#All],[course_name]:[epitirites]],5,FALSE)</f>
        <v>0.375</v>
      </c>
      <c r="I12" t="s">
        <v>62</v>
      </c>
      <c r="J12">
        <v>4</v>
      </c>
      <c r="N12" s="18" t="s">
        <v>367</v>
      </c>
      <c r="O12" s="18" t="s">
        <v>368</v>
      </c>
      <c r="P12" s="19">
        <v>17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7</v>
      </c>
      <c r="N13" s="18" t="s">
        <v>330</v>
      </c>
      <c r="O13" s="18" t="s">
        <v>369</v>
      </c>
      <c r="P13" s="19">
        <v>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2</v>
      </c>
      <c r="N14" s="18" t="s">
        <v>331</v>
      </c>
      <c r="O14" s="18" t="s">
        <v>370</v>
      </c>
      <c r="P14" s="19">
        <v>3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10</v>
      </c>
      <c r="N15" s="18" t="s">
        <v>371</v>
      </c>
      <c r="O15" s="18" t="s">
        <v>372</v>
      </c>
      <c r="P15" s="19">
        <v>1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5</v>
      </c>
      <c r="N16" s="18" t="s">
        <v>373</v>
      </c>
      <c r="O16" s="18" t="s">
        <v>374</v>
      </c>
      <c r="P16" s="19">
        <v>1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2</v>
      </c>
      <c r="N17" s="18" t="s">
        <v>375</v>
      </c>
      <c r="O17" s="18" t="s">
        <v>376</v>
      </c>
      <c r="P17" s="19">
        <v>4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4</v>
      </c>
      <c r="N18" s="18" t="s">
        <v>377</v>
      </c>
      <c r="O18" s="18" t="s">
        <v>378</v>
      </c>
      <c r="P18" s="19">
        <v>4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46185</v>
      </c>
      <c r="F19" s="17">
        <v>0.625</v>
      </c>
      <c r="J19">
        <v>4</v>
      </c>
      <c r="N19" s="18" t="s">
        <v>379</v>
      </c>
      <c r="O19" s="18" t="s">
        <v>380</v>
      </c>
      <c r="P19" s="19">
        <v>7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10</v>
      </c>
      <c r="N20" s="18" t="s">
        <v>381</v>
      </c>
      <c r="O20" s="18" t="s">
        <v>382</v>
      </c>
      <c r="P20" s="19">
        <v>2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46183</v>
      </c>
      <c r="F21" s="15">
        <f>VLOOKUP($I21,Table1[[#All],[course_name]:[epitirites]],5,FALSE)</f>
        <v>0.5</v>
      </c>
      <c r="I21" t="s">
        <v>75</v>
      </c>
      <c r="J21">
        <v>5</v>
      </c>
      <c r="N21" s="18" t="s">
        <v>383</v>
      </c>
      <c r="O21" s="18" t="s">
        <v>384</v>
      </c>
      <c r="P21" s="19">
        <v>2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4</v>
      </c>
      <c r="N22" s="18" t="s">
        <v>385</v>
      </c>
      <c r="O22" s="18" t="s">
        <v>386</v>
      </c>
      <c r="P22" s="19">
        <v>10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2</v>
      </c>
      <c r="N23" s="18" t="s">
        <v>387</v>
      </c>
      <c r="O23" s="18" t="s">
        <v>388</v>
      </c>
      <c r="P23" s="19">
        <v>8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46189</v>
      </c>
      <c r="F24" s="17">
        <v>0.625</v>
      </c>
      <c r="J24">
        <v>4</v>
      </c>
      <c r="N24" s="18" t="s">
        <v>389</v>
      </c>
      <c r="O24" s="18" t="s">
        <v>390</v>
      </c>
      <c r="P24" s="19">
        <v>5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4</v>
      </c>
      <c r="N25" s="18" t="s">
        <v>391</v>
      </c>
      <c r="O25" s="18" t="s">
        <v>392</v>
      </c>
      <c r="P25" s="19">
        <v>5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15</v>
      </c>
      <c r="N26" s="18" t="s">
        <v>393</v>
      </c>
      <c r="O26" s="18" t="s">
        <v>394</v>
      </c>
      <c r="P26" s="19">
        <v>2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6</v>
      </c>
      <c r="N27" s="18" t="s">
        <v>395</v>
      </c>
      <c r="O27" s="18" t="s">
        <v>396</v>
      </c>
      <c r="P27" s="19">
        <v>2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3</v>
      </c>
      <c r="N28" s="18" t="s">
        <v>397</v>
      </c>
      <c r="O28" s="18" t="s">
        <v>398</v>
      </c>
      <c r="P28" s="19">
        <v>4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5</v>
      </c>
      <c r="N29" s="18" t="s">
        <v>399</v>
      </c>
      <c r="O29" s="18" t="s">
        <v>400</v>
      </c>
      <c r="P29" s="19">
        <v>4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4</v>
      </c>
      <c r="N30" s="18" t="s">
        <v>401</v>
      </c>
      <c r="O30" s="18" t="s">
        <v>402</v>
      </c>
      <c r="P30" s="19">
        <v>4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1</v>
      </c>
      <c r="N31" s="18" t="s">
        <v>403</v>
      </c>
      <c r="O31" s="18" t="s">
        <v>404</v>
      </c>
      <c r="P31" s="19">
        <v>10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3</v>
      </c>
      <c r="N32" s="18" t="s">
        <v>405</v>
      </c>
      <c r="O32" s="18" t="s">
        <v>406</v>
      </c>
      <c r="P32" s="19">
        <v>10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3</v>
      </c>
      <c r="N33" s="18" t="s">
        <v>407</v>
      </c>
      <c r="O33" s="18" t="s">
        <v>408</v>
      </c>
      <c r="P33" s="19">
        <v>5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5</v>
      </c>
      <c r="N34" s="18" t="s">
        <v>409</v>
      </c>
      <c r="O34" s="18" t="s">
        <v>410</v>
      </c>
      <c r="P34" s="19">
        <v>5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4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J37">
        <v>3</v>
      </c>
      <c r="N37" s="18" t="s">
        <v>415</v>
      </c>
      <c r="O37" s="18" t="s">
        <v>416</v>
      </c>
      <c r="P37" s="19">
        <v>2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2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4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46203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4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5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6</v>
      </c>
      <c r="N42" s="18" t="s">
        <v>425</v>
      </c>
      <c r="O42" s="18" t="s">
        <v>426</v>
      </c>
      <c r="P42" s="19">
        <v>4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2</v>
      </c>
      <c r="N43" s="18" t="s">
        <v>427</v>
      </c>
      <c r="O43" s="18" t="s">
        <v>428</v>
      </c>
      <c r="P43" s="19">
        <v>15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J44">
        <v>2</v>
      </c>
      <c r="N44" s="18" t="s">
        <v>429</v>
      </c>
      <c r="O44" s="18" t="s">
        <v>430</v>
      </c>
      <c r="P44" s="19">
        <v>15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46195</v>
      </c>
      <c r="F45" s="17">
        <v>0.5</v>
      </c>
      <c r="J45">
        <v>2</v>
      </c>
      <c r="N45" s="18" t="s">
        <v>431</v>
      </c>
      <c r="O45" s="18" t="s">
        <v>432</v>
      </c>
      <c r="P45" s="19">
        <v>6</v>
      </c>
    </row>
    <row r="46" spans="1:16" x14ac:dyDescent="0.25">
      <c r="N46" s="18" t="s">
        <v>433</v>
      </c>
      <c r="O46" s="18" t="s">
        <v>434</v>
      </c>
      <c r="P46" s="19">
        <v>6</v>
      </c>
    </row>
    <row r="47" spans="1:16" x14ac:dyDescent="0.25">
      <c r="N47" s="18" t="s">
        <v>435</v>
      </c>
      <c r="O47" s="18" t="s">
        <v>436</v>
      </c>
      <c r="P47" s="19">
        <v>3</v>
      </c>
    </row>
    <row r="48" spans="1:16" x14ac:dyDescent="0.25">
      <c r="N48" s="18" t="s">
        <v>437</v>
      </c>
      <c r="O48" s="18" t="s">
        <v>438</v>
      </c>
      <c r="P48" s="19">
        <v>3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5</v>
      </c>
    </row>
    <row r="51" spans="14:16" x14ac:dyDescent="0.25">
      <c r="N51" s="18" t="s">
        <v>443</v>
      </c>
      <c r="O51" s="18" t="s">
        <v>444</v>
      </c>
      <c r="P51" s="19">
        <v>4</v>
      </c>
    </row>
    <row r="52" spans="14:16" x14ac:dyDescent="0.25">
      <c r="N52" s="18" t="s">
        <v>445</v>
      </c>
      <c r="O52" s="18" t="s">
        <v>446</v>
      </c>
      <c r="P52" s="19">
        <v>1</v>
      </c>
    </row>
    <row r="53" spans="14:16" x14ac:dyDescent="0.25">
      <c r="N53" s="18" t="s">
        <v>447</v>
      </c>
      <c r="O53" s="18" t="s">
        <v>448</v>
      </c>
      <c r="P53" s="19">
        <v>1</v>
      </c>
    </row>
    <row r="54" spans="14:16" x14ac:dyDescent="0.25">
      <c r="N54" s="18" t="s">
        <v>449</v>
      </c>
      <c r="O54" s="18" t="s">
        <v>450</v>
      </c>
      <c r="P54" s="19">
        <v>3</v>
      </c>
    </row>
    <row r="55" spans="14:16" x14ac:dyDescent="0.25">
      <c r="N55" s="18" t="s">
        <v>451</v>
      </c>
      <c r="O55" s="18" t="s">
        <v>452</v>
      </c>
      <c r="P55" s="19">
        <v>3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3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5</v>
      </c>
    </row>
    <row r="60" spans="14:16" x14ac:dyDescent="0.25">
      <c r="N60" s="18" t="s">
        <v>461</v>
      </c>
      <c r="O60" s="18" t="s">
        <v>462</v>
      </c>
      <c r="P60" s="19">
        <v>5</v>
      </c>
    </row>
    <row r="61" spans="14:16" x14ac:dyDescent="0.25">
      <c r="N61" s="18" t="s">
        <v>463</v>
      </c>
      <c r="O61" s="18" t="s">
        <v>464</v>
      </c>
      <c r="P61" s="19">
        <v>5</v>
      </c>
    </row>
    <row r="62" spans="14:16" x14ac:dyDescent="0.25">
      <c r="N62" s="18" t="s">
        <v>465</v>
      </c>
      <c r="O62" s="18" t="s">
        <v>466</v>
      </c>
      <c r="P62" s="19">
        <v>2</v>
      </c>
    </row>
    <row r="63" spans="14:16" x14ac:dyDescent="0.25">
      <c r="N63" s="18" t="s">
        <v>467</v>
      </c>
      <c r="O63" s="18" t="s">
        <v>468</v>
      </c>
      <c r="P63" s="19">
        <v>2</v>
      </c>
    </row>
    <row r="64" spans="14:16" x14ac:dyDescent="0.25">
      <c r="N64" s="18" t="s">
        <v>469</v>
      </c>
      <c r="O64" s="18" t="s">
        <v>470</v>
      </c>
      <c r="P64" s="19"/>
    </row>
    <row r="65" spans="14:16" x14ac:dyDescent="0.25">
      <c r="N65" s="18" t="s">
        <v>471</v>
      </c>
      <c r="O65" s="18" t="s">
        <v>472</v>
      </c>
      <c r="P65" s="19"/>
    </row>
    <row r="66" spans="14:16" x14ac:dyDescent="0.25">
      <c r="N66" s="18" t="s">
        <v>473</v>
      </c>
      <c r="O66" s="18" t="s">
        <v>474</v>
      </c>
      <c r="P66" s="19"/>
    </row>
    <row r="67" spans="14:16" x14ac:dyDescent="0.25">
      <c r="N67" s="18" t="s">
        <v>475</v>
      </c>
      <c r="O67" s="18" t="s">
        <v>476</v>
      </c>
      <c r="P67" s="19"/>
    </row>
    <row r="68" spans="14:16" x14ac:dyDescent="0.25">
      <c r="N68" s="18" t="s">
        <v>477</v>
      </c>
      <c r="O68" s="18" t="s">
        <v>478</v>
      </c>
      <c r="P68" s="19"/>
    </row>
    <row r="69" spans="14:16" x14ac:dyDescent="0.25">
      <c r="N69" s="18" t="s">
        <v>479</v>
      </c>
      <c r="O69" s="18" t="s">
        <v>480</v>
      </c>
      <c r="P69" s="19"/>
    </row>
    <row r="70" spans="14:16" x14ac:dyDescent="0.25">
      <c r="N70" s="18" t="s">
        <v>481</v>
      </c>
      <c r="O70" s="18" t="s">
        <v>482</v>
      </c>
      <c r="P70" s="19"/>
    </row>
    <row r="71" spans="14:16" x14ac:dyDescent="0.25">
      <c r="N71" s="18" t="s">
        <v>483</v>
      </c>
      <c r="O71" s="18" t="s">
        <v>484</v>
      </c>
      <c r="P71" s="19"/>
    </row>
    <row r="72" spans="14:16" x14ac:dyDescent="0.25">
      <c r="N72" s="18" t="s">
        <v>485</v>
      </c>
      <c r="O72" s="18" t="s">
        <v>486</v>
      </c>
      <c r="P72" s="19"/>
    </row>
    <row r="73" spans="14:16" x14ac:dyDescent="0.25">
      <c r="N73" s="18" t="s">
        <v>487</v>
      </c>
      <c r="O73" s="18" t="s">
        <v>488</v>
      </c>
      <c r="P73" s="19"/>
    </row>
    <row r="74" spans="14:16" x14ac:dyDescent="0.25">
      <c r="N74" s="18" t="s">
        <v>489</v>
      </c>
      <c r="O74" s="18" t="s">
        <v>490</v>
      </c>
      <c r="P74" s="19"/>
    </row>
    <row r="75" spans="14:16" x14ac:dyDescent="0.25">
      <c r="N75" s="18" t="s">
        <v>491</v>
      </c>
      <c r="O75" s="18" t="s">
        <v>492</v>
      </c>
      <c r="P75" s="19"/>
    </row>
    <row r="76" spans="14:16" x14ac:dyDescent="0.25">
      <c r="N76" s="18" t="s">
        <v>493</v>
      </c>
      <c r="O76" s="18" t="s">
        <v>494</v>
      </c>
      <c r="P76" s="19"/>
    </row>
    <row r="77" spans="14:16" x14ac:dyDescent="0.25">
      <c r="N77" s="18" t="s">
        <v>495</v>
      </c>
      <c r="O77" s="18" t="s">
        <v>496</v>
      </c>
      <c r="P77" s="19"/>
    </row>
    <row r="78" spans="14:16" x14ac:dyDescent="0.25">
      <c r="N78" s="18" t="s">
        <v>497</v>
      </c>
      <c r="O78" s="18" t="s">
        <v>498</v>
      </c>
      <c r="P78" s="19"/>
    </row>
    <row r="79" spans="14:16" x14ac:dyDescent="0.25">
      <c r="N79" s="18" t="s">
        <v>499</v>
      </c>
      <c r="O79" s="18" t="s">
        <v>500</v>
      </c>
      <c r="P79" s="19"/>
    </row>
  </sheetData>
  <autoFilter ref="A1:J45" xr:uid="{FF9BB994-2091-49AD-A81F-1F9D38B25576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2026-05-07T22:17:45Z</dcterms:modified>
</cp:coreProperties>
</file>