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CD9956F6-C929-41A9-861F-5F1C9B597D2B}" xr6:coauthVersionLast="47" xr6:coauthVersionMax="47" xr10:uidLastSave="{00000000-0000-0000-0000-000000000000}"/>
  <bookViews>
    <workbookView xWindow="28680" yWindow="-105" windowWidth="29040" windowHeight="15720" activeTab="1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2" i="2" l="1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A33" i="3"/>
  <c r="A34" i="3" s="1"/>
  <c r="A35" i="3" s="1"/>
  <c r="F32" i="3"/>
  <c r="E32" i="3"/>
  <c r="D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9" i="3"/>
  <c r="E9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O96" i="2"/>
  <c r="J96" i="2" s="1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O87" i="2"/>
  <c r="J87" i="2" s="1"/>
  <c r="M87" i="2"/>
  <c r="O86" i="2"/>
  <c r="J86" i="2" s="1"/>
  <c r="M86" i="2"/>
  <c r="M85" i="2"/>
  <c r="J85" i="2"/>
  <c r="M84" i="2"/>
  <c r="J84" i="2"/>
  <c r="O83" i="2"/>
  <c r="J83" i="2" s="1"/>
  <c r="M83" i="2"/>
  <c r="O82" i="2"/>
  <c r="J82" i="2" s="1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O73" i="2"/>
  <c r="J73" i="2" s="1"/>
  <c r="M73" i="2"/>
  <c r="M72" i="2"/>
  <c r="J72" i="2"/>
  <c r="M71" i="2"/>
  <c r="J71" i="2"/>
  <c r="L70" i="2"/>
  <c r="M70" i="2" s="1"/>
  <c r="J70" i="2"/>
  <c r="M69" i="2"/>
  <c r="J69" i="2"/>
  <c r="M68" i="2"/>
  <c r="J68" i="2"/>
  <c r="O67" i="2"/>
  <c r="M67" i="2"/>
  <c r="J67" i="2"/>
  <c r="M66" i="2"/>
  <c r="J66" i="2"/>
  <c r="O65" i="2"/>
  <c r="M65" i="2"/>
  <c r="J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O41" i="2"/>
  <c r="J41" i="2" s="1"/>
  <c r="L41" i="2"/>
  <c r="M41" i="2" s="1"/>
  <c r="L40" i="2"/>
  <c r="M40" i="2" s="1"/>
  <c r="J40" i="2"/>
  <c r="O39" i="2"/>
  <c r="J39" i="2" s="1"/>
  <c r="L39" i="2"/>
  <c r="M39" i="2" s="1"/>
  <c r="O38" i="2"/>
  <c r="J38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O32" i="2"/>
  <c r="L32" i="2"/>
  <c r="M32" i="2" s="1"/>
  <c r="J32" i="2"/>
  <c r="O31" i="2"/>
  <c r="J31" i="2" s="1"/>
  <c r="M31" i="2"/>
  <c r="O30" i="2"/>
  <c r="M30" i="2"/>
  <c r="J30" i="2"/>
  <c r="O29" i="2"/>
  <c r="J29" i="2" s="1"/>
  <c r="M29" i="2"/>
  <c r="O28" i="2"/>
  <c r="L28" i="2"/>
  <c r="M28" i="2" s="1"/>
  <c r="J28" i="2"/>
  <c r="O27" i="2"/>
  <c r="J27" i="2" s="1"/>
  <c r="L27" i="2"/>
  <c r="M27" i="2" s="1"/>
  <c r="O26" i="2"/>
  <c r="J26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O19" i="2"/>
  <c r="M19" i="2"/>
  <c r="J19" i="2"/>
  <c r="R18" i="2" a="1"/>
  <c r="R18" i="2" s="1"/>
  <c r="O18" i="2"/>
  <c r="J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M5" i="2"/>
  <c r="J5" i="2"/>
  <c r="R4" i="2" a="1"/>
  <c r="R4" i="2" s="1"/>
  <c r="O4" i="2"/>
  <c r="M4" i="2"/>
  <c r="J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sharedStrings.xml><?xml version="1.0" encoding="utf-8"?>
<sst xmlns="http://schemas.openxmlformats.org/spreadsheetml/2006/main" count="1250" uniqueCount="520">
  <si>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</si>
  <si>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</si>
  <si>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</si>
  <si>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</si>
  <si>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</si>
  <si>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</si>
  <si>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</si>
  <si>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</si>
  <si>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</si>
  <si>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</si>
  <si>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</si>
  <si>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</si>
  <si>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</si>
  <si>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</si>
  <si>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</si>
  <si>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</si>
  <si>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</si>
  <si>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</si>
  <si>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</si>
  <si>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</si>
  <si>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</si>
  <si>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</si>
  <si>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</si>
  <si>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</si>
  <si>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</si>
  <si>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</si>
  <si>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</si>
  <si>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</si>
  <si>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</si>
  <si>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</si>
  <si>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</si>
  <si>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</si>
  <si>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</si>
  <si>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</si>
  <si>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</si>
  <si>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</si>
  <si>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</si>
  <si>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</si>
  <si>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</si>
  <si>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</si>
  <si>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</si>
  <si>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</si>
  <si>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</si>
  <si>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</si>
  <si>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</si>
  <si>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</si>
  <si>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</si>
  <si>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</si>
  <si>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</si>
  <si>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</si>
  <si>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</si>
  <si>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</si>
  <si>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</si>
  <si>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</si>
  <si>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</si>
  <si>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</si>
  <si>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</si>
  <si>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</si>
  <si>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</si>
  <si>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</si>
  <si>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</si>
  <si>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</si>
  <si>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</si>
  <si>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</si>
  <si>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</si>
  <si>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</si>
  <si>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</si>
  <si>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</si>
  <si>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</si>
  <si>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</si>
  <si>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</si>
  <si>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</si>
  <si>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</si>
  <si>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</si>
  <si>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</si>
  <si>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</si>
  <si>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</si>
  <si>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</si>
  <si>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</si>
  <si>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</si>
  <si>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</si>
  <si>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</si>
  <si>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</si>
  <si>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</si>
  <si>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</si>
  <si>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</si>
  <si>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</si>
  <si>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</si>
  <si>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</si>
  <si>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</si>
  <si>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</si>
  <si>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</si>
  <si>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</si>
  <si>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</si>
  <si>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</si>
  <si>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</si>
  <si>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</si>
  <si>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</si>
  <si>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</si>
  <si>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</si>
  <si>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</si>
  <si>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</si>
  <si>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</si>
  <si>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</si>
  <si>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</si>
  <si>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</si>
  <si>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</si>
  <si>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</si>
  <si>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</si>
  <si>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</si>
  <si>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</si>
  <si>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</si>
  <si>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</si>
  <si>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</si>
  <si>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</si>
  <si>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</si>
  <si>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</si>
  <si>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</si>
  <si>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</si>
  <si>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</si>
  <si>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</si>
  <si>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</si>
  <si>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</si>
  <si>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</si>
  <si>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</si>
  <si>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</si>
  <si>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</si>
  <si>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</si>
  <si>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</si>
  <si>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</si>
  <si>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</si>
  <si>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</si>
  <si>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</si>
  <si>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</si>
  <si>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</si>
  <si>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</si>
  <si>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</si>
  <si>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</si>
  <si>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</si>
  <si>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</si>
  <si>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</si>
  <si>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</si>
  <si>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</si>
  <si>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</si>
  <si>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</si>
  <si>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</si>
  <si>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</si>
  <si>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</si>
  <si>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</si>
  <si>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</si>
  <si>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</si>
  <si>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</si>
  <si>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</si>
  <si>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</si>
  <si>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</si>
  <si>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</si>
  <si>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</si>
  <si>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</si>
  <si>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</si>
  <si>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</si>
  <si>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</si>
  <si>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</si>
  <si>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</si>
  <si>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</si>
  <si>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</si>
  <si>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</si>
  <si>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</si>
  <si>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</si>
  <si>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</si>
  <si>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</si>
  <si>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</si>
  <si>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</si>
  <si>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</si>
  <si>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</si>
  <si>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</si>
  <si>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</si>
  <si>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</si>
  <si>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</si>
  <si>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</si>
  <si>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</si>
  <si>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</si>
  <si>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</si>
  <si>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</si>
  <si>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</si>
  <si>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</si>
  <si>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</si>
  <si>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</si>
  <si>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</si>
  <si>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</si>
  <si>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</si>
  <si>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</si>
  <si>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</si>
  <si>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</si>
  <si>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</si>
  <si>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</si>
  <si>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</si>
  <si>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</si>
  <si>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</si>
  <si>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</si>
  <si>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</si>
  <si>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</si>
  <si>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</si>
  <si>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</si>
  <si>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</si>
  <si>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</si>
  <si>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</si>
  <si>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</si>
  <si>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</si>
  <si>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</si>
  <si>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</si>
  <si>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</si>
  <si>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</si>
  <si>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</si>
  <si>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</si>
  <si>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</si>
  <si>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</si>
  <si>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</si>
  <si>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</si>
  <si>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</si>
  <si>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</si>
  <si>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</si>
  <si>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</si>
  <si>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</si>
  <si>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</si>
  <si>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</si>
  <si>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</si>
  <si>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</si>
  <si>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</si>
  <si>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</si>
  <si>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</si>
  <si>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</si>
  <si>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</si>
  <si>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</si>
  <si>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</si>
  <si>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</si>
  <si>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</si>
  <si>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</si>
  <si>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</si>
  <si>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</si>
  <si>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</si>
  <si>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</si>
  <si>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</si>
  <si>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</si>
  <si>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</si>
  <si>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</si>
  <si>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</si>
  <si>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</si>
  <si>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</si>
  <si>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</si>
  <si>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</si>
  <si>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</si>
  <si>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</si>
  <si>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</si>
  <si>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</si>
  <si>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</si>
  <si>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</si>
  <si>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</si>
  <si>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</si>
  <si>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</si>
  <si>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</si>
  <si>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</si>
  <si>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</si>
  <si>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</si>
  <si>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</si>
  <si>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</si>
  <si>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</si>
  <si>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</si>
  <si>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</si>
  <si>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</si>
  <si>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</si>
  <si>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</si>
  <si>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</si>
  <si>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</si>
  <si>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</si>
  <si>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</si>
  <si>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</si>
  <si>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</si>
  <si>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</si>
  <si>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</si>
  <si>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</si>
  <si>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</si>
  <si>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</si>
  <si>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</si>
  <si>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</si>
  <si>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</si>
  <si>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</si>
  <si>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</si>
  <si>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</si>
  <si>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</si>
  <si>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</si>
  <si>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</si>
  <si>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</si>
  <si>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</si>
  <si>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</si>
  <si>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</si>
  <si>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</si>
  <si>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</si>
  <si>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</si>
  <si>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</si>
  <si>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</si>
  <si>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</si>
  <si>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</si>
  <si>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</si>
  <si>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</si>
  <si>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</si>
  <si>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</si>
  <si>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</si>
  <si>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</si>
  <si>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</si>
  <si>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</si>
  <si>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</si>
  <si>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</si>
  <si>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</si>
  <si>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</si>
  <si>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</si>
  <si>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</si>
  <si>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</si>
  <si>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</si>
  <si>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</si>
  <si>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</si>
  <si>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</si>
  <si>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</si>
  <si>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</si>
  <si>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</si>
  <si>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</si>
  <si>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</si>
  <si>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</si>
  <si>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</si>
  <si>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</si>
  <si>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</si>
  <si>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</si>
  <si>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</si>
  <si>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</si>
  <si>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</si>
  <si>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</si>
  <si>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</si>
  <si>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</si>
  <si>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</si>
  <si>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</si>
  <si>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</si>
  <si>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</si>
  <si>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</si>
  <si>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</si>
  <si>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</si>
  <si>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</si>
  <si>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</si>
  <si>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</si>
  <si>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</si>
  <si>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</si>
  <si>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</si>
  <si>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</si>
  <si>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</si>
  <si>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</si>
  <si>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</si>
  <si>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</si>
  <si>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</si>
  <si>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</si>
  <si>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</si>
  <si>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</si>
  <si>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</si>
  <si>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</si>
  <si>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</si>
  <si>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</si>
  <si>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</si>
  <si>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</si>
  <si>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</si>
  <si>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</si>
  <si>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</si>
  <si>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</si>
  <si>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ΔΟΜ606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</si>
  <si>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</si>
  <si>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</si>
  <si>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</si>
  <si>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</si>
  <si>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</si>
  <si>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</si>
  <si>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</si>
  <si>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</si>
  <si>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</si>
  <si>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</si>
  <si>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</si>
  <si>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</si>
  <si>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ΔΟΜ703</t>
  </si>
  <si>
    <t>405Θ</t>
  </si>
  <si>
    <t>ΚΑΤΑΣΚΕΥΕΣ ΚΤΙΡΙΩΝ-Θ</t>
  </si>
  <si>
    <t>ΔΟΜ704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</si>
  <si>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</si>
  <si>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</si>
  <si>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</si>
  <si>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ΔΟΜ705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</si>
  <si>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</si>
  <si>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</si>
  <si>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</si>
  <si>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ΥΠ703</t>
  </si>
  <si>
    <t>Τεχνικά Έργα Οδοποιίας</t>
  </si>
  <si>
    <t>501Ε</t>
  </si>
  <si>
    <t>ΔΥΝΑΜΙΚΗ ΤΩΝ ΚΑΤΑΣΚΕΥΩΝ-Ε</t>
  </si>
  <si>
    <t>ΥΠ704</t>
  </si>
  <si>
    <t>Περιβαλλοντική Διαχείριση Έργων</t>
  </si>
  <si>
    <t>501Θ</t>
  </si>
  <si>
    <t>ΔΥΝΑΜΙΚΗ ΤΩΝ ΚΑΤΑΣΚΕΥΩΝ-Θ</t>
  </si>
  <si>
    <t>ΥΠ705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</si>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</sst>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2"/>
  <sheetViews>
    <sheetView tabSelected="1" zoomScale="85" zoomScaleNormal="85" workbookViewId="0">
      <pane ySplit="1" topLeftCell="A17" activePane="bottomLeft" state="frozen"/>
      <selection pane="bottomLeft" activeCell="O45" sqref="O45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60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8</v>
      </c>
      <c r="N2" s="22">
        <v>8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46275</v>
      </c>
      <c r="F3" s="2" t="s">
        <v>25</v>
      </c>
      <c r="J3" s="22">
        <f t="shared" si="0"/>
        <v>46</v>
      </c>
      <c r="K3">
        <v>2</v>
      </c>
      <c r="L3" s="22">
        <f>COUNTA(_xlfn.TEXTSPLIT(H3,","))</f>
        <v>1</v>
      </c>
      <c r="M3" s="22">
        <f t="shared" ref="M3:M34" si="1">K3-L3</f>
        <v>1</v>
      </c>
      <c r="N3" s="22">
        <v>31</v>
      </c>
      <c r="O3" s="22">
        <f>VLOOKUP(Table1[[#This Row],[course_name]],ΤΕΙ!I:J,2,FALSE)</f>
        <v>15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6</v>
      </c>
      <c r="M4" s="22">
        <f t="shared" si="1"/>
        <v>0</v>
      </c>
      <c r="N4" s="22">
        <v>2</v>
      </c>
      <c r="O4" s="22">
        <f>VLOOKUP(Table1[[#This Row],[course_name]],ΤΕΙ!I:J,2,FALSE)</f>
        <v>4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46280</v>
      </c>
      <c r="F5" s="2" t="s">
        <v>18</v>
      </c>
      <c r="J5" s="22">
        <f t="shared" si="0"/>
        <v>7</v>
      </c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5</v>
      </c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6</v>
      </c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5</v>
      </c>
      <c r="M8" s="22">
        <f t="shared" si="1"/>
        <v>0</v>
      </c>
      <c r="O8" s="22">
        <f>VLOOKUP(Table1[[#This Row],[course_name]],ΤΕΙ!I:J,2,FALSE)</f>
        <v>5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57</v>
      </c>
      <c r="K9">
        <v>2</v>
      </c>
      <c r="L9" s="22">
        <f t="shared" ref="L9:L15" si="2">COUNTA(_xlfn.TEXTSPLIT(H9,","))</f>
        <v>1</v>
      </c>
      <c r="M9" s="22">
        <f t="shared" si="1"/>
        <v>1</v>
      </c>
      <c r="N9" s="22">
        <v>53</v>
      </c>
      <c r="O9" s="22">
        <f>VLOOKUP(Table1[[#This Row],[course_name]],ΤΕΙ!I:J,2,FALSE)</f>
        <v>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111</v>
      </c>
      <c r="K10">
        <v>4</v>
      </c>
      <c r="L10" s="22">
        <f t="shared" si="2"/>
        <v>1</v>
      </c>
      <c r="M10" s="22">
        <f t="shared" si="1"/>
        <v>3</v>
      </c>
      <c r="N10" s="22">
        <v>111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135</v>
      </c>
      <c r="K11">
        <v>4</v>
      </c>
      <c r="L11" s="22">
        <f t="shared" si="2"/>
        <v>1</v>
      </c>
      <c r="M11" s="22">
        <f t="shared" si="1"/>
        <v>3</v>
      </c>
      <c r="N11" s="22">
        <v>118</v>
      </c>
      <c r="O11" s="22">
        <f>VLOOKUP(Table1[[#This Row],[course_name]],ΤΕΙ!I:J,2,FALSE)</f>
        <v>17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51</v>
      </c>
      <c r="K12">
        <v>2</v>
      </c>
      <c r="L12" s="22">
        <f t="shared" si="2"/>
        <v>1</v>
      </c>
      <c r="M12" s="22">
        <f t="shared" si="1"/>
        <v>1</v>
      </c>
      <c r="N12" s="22">
        <v>51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18</v>
      </c>
      <c r="J14" s="22">
        <f t="shared" si="0"/>
        <v>45</v>
      </c>
      <c r="K14">
        <v>2</v>
      </c>
      <c r="L14" s="22">
        <f t="shared" si="2"/>
        <v>1</v>
      </c>
      <c r="M14" s="22">
        <f t="shared" si="1"/>
        <v>1</v>
      </c>
      <c r="N14" s="22">
        <v>43</v>
      </c>
      <c r="O14" s="22">
        <f>VLOOKUP(Table1[[#This Row],[course_name]],ΤΕΙ!I:J,2,FALSE)</f>
        <v>2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55</v>
      </c>
      <c r="K15">
        <v>2</v>
      </c>
      <c r="L15" s="22">
        <f t="shared" si="2"/>
        <v>1</v>
      </c>
      <c r="M15" s="22">
        <f t="shared" si="1"/>
        <v>1</v>
      </c>
      <c r="N15" s="22">
        <v>55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3</v>
      </c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2" t="s">
        <v>18</v>
      </c>
      <c r="J17" s="22">
        <f t="shared" si="0"/>
        <v>6</v>
      </c>
      <c r="M17" s="22">
        <f t="shared" si="1"/>
        <v>0</v>
      </c>
      <c r="N17" s="22">
        <v>6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2" t="s">
        <v>30</v>
      </c>
      <c r="J18" s="22">
        <f t="shared" si="0"/>
        <v>5</v>
      </c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6</v>
      </c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36</v>
      </c>
      <c r="K20">
        <v>1</v>
      </c>
      <c r="L20" s="22">
        <f>COUNTA(_xlfn.TEXTSPLIT(H20,","))</f>
        <v>1</v>
      </c>
      <c r="M20" s="22">
        <f t="shared" si="1"/>
        <v>0</v>
      </c>
      <c r="N20" s="22">
        <v>36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10</v>
      </c>
      <c r="M21" s="22">
        <f t="shared" si="1"/>
        <v>0</v>
      </c>
      <c r="N21" s="22">
        <v>10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4</v>
      </c>
      <c r="M22" s="22">
        <f t="shared" si="1"/>
        <v>0</v>
      </c>
      <c r="N22" s="22">
        <v>4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46275</v>
      </c>
      <c r="F23" s="2" t="s">
        <v>18</v>
      </c>
      <c r="J23" s="22">
        <f t="shared" si="0"/>
        <v>49</v>
      </c>
      <c r="K23">
        <v>2</v>
      </c>
      <c r="L23" s="22">
        <f t="shared" ref="L23:L28" si="3">COUNTA(_xlfn.TEXTSPLIT(H23,","))</f>
        <v>1</v>
      </c>
      <c r="M23" s="22">
        <f t="shared" si="1"/>
        <v>1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73</v>
      </c>
      <c r="K24">
        <v>2</v>
      </c>
      <c r="L24" s="22">
        <f t="shared" si="3"/>
        <v>1</v>
      </c>
      <c r="M24" s="22">
        <f t="shared" si="1"/>
        <v>1</v>
      </c>
      <c r="N24" s="22">
        <v>73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46267</v>
      </c>
      <c r="F25" s="2" t="s">
        <v>18</v>
      </c>
      <c r="J25" s="22">
        <f t="shared" si="0"/>
        <v>111</v>
      </c>
      <c r="K25">
        <v>3</v>
      </c>
      <c r="L25" s="22">
        <f t="shared" si="3"/>
        <v>1</v>
      </c>
      <c r="M25" s="22">
        <f t="shared" si="1"/>
        <v>2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45</v>
      </c>
      <c r="K26">
        <v>2</v>
      </c>
      <c r="L26" s="22">
        <f t="shared" si="3"/>
        <v>1</v>
      </c>
      <c r="M26" s="22">
        <f t="shared" si="1"/>
        <v>1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70</v>
      </c>
      <c r="K28">
        <v>2</v>
      </c>
      <c r="L28" s="22">
        <f t="shared" si="3"/>
        <v>1</v>
      </c>
      <c r="M28" s="22">
        <f t="shared" si="1"/>
        <v>1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29</v>
      </c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4</v>
      </c>
      <c r="M30" s="22">
        <f t="shared" si="1"/>
        <v>0</v>
      </c>
      <c r="O30" s="22">
        <f>VLOOKUP(Table1[[#This Row],[course_name]],ΤΕΙ!I:J,2,FALSE)</f>
        <v>4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23</v>
      </c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59</v>
      </c>
      <c r="K32" s="22">
        <v>2</v>
      </c>
      <c r="L32" s="22">
        <f>COUNTA(_xlfn.TEXTSPLIT(H32,","))</f>
        <v>1</v>
      </c>
      <c r="M32" s="22">
        <f t="shared" si="1"/>
        <v>1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4">SUM(N34:O34)</f>
        <v>14</v>
      </c>
      <c r="M34" s="22">
        <f t="shared" si="1"/>
        <v>0</v>
      </c>
      <c r="N34" s="22">
        <v>14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4"/>
        <v>71</v>
      </c>
      <c r="K35" s="22">
        <v>2</v>
      </c>
      <c r="L35" s="22">
        <f t="shared" ref="L35:L41" si="5">COUNTA(_xlfn.TEXTSPLIT(H35,","))</f>
        <v>1</v>
      </c>
      <c r="M35" s="22">
        <f t="shared" ref="M35:M66" si="6">K35-L35</f>
        <v>1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4"/>
        <v>57</v>
      </c>
      <c r="K36" s="22">
        <v>2</v>
      </c>
      <c r="L36" s="22">
        <f t="shared" si="5"/>
        <v>1</v>
      </c>
      <c r="M36" s="22">
        <f t="shared" si="6"/>
        <v>1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4"/>
        <v>46</v>
      </c>
      <c r="K37" s="22">
        <v>2</v>
      </c>
      <c r="L37" s="22">
        <f t="shared" si="5"/>
        <v>1</v>
      </c>
      <c r="M37" s="22">
        <f t="shared" si="6"/>
        <v>1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4"/>
        <v>91</v>
      </c>
      <c r="K38" s="22">
        <v>3</v>
      </c>
      <c r="L38" s="22">
        <f t="shared" si="5"/>
        <v>1</v>
      </c>
      <c r="M38" s="22">
        <f t="shared" si="6"/>
        <v>2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4"/>
        <v>30</v>
      </c>
      <c r="K39" s="22">
        <v>1</v>
      </c>
      <c r="L39" s="22">
        <f t="shared" si="5"/>
        <v>1</v>
      </c>
      <c r="M39" s="22">
        <f t="shared" si="6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4"/>
        <v>39</v>
      </c>
      <c r="K40" s="22">
        <v>1</v>
      </c>
      <c r="L40" s="22">
        <f t="shared" si="5"/>
        <v>1</v>
      </c>
      <c r="M40" s="22">
        <f t="shared" si="6"/>
        <v>0</v>
      </c>
      <c r="N40" s="22">
        <v>39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4"/>
        <v>40</v>
      </c>
      <c r="K41" s="22">
        <v>2</v>
      </c>
      <c r="L41" s="22">
        <f t="shared" si="5"/>
        <v>1</v>
      </c>
      <c r="M41" s="22">
        <f t="shared" si="6"/>
        <v>1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121</v>
      </c>
      <c r="B42" t="s">
        <v>519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4"/>
        <v>24</v>
      </c>
      <c r="M42" s="22">
        <f t="shared" si="6"/>
        <v>0</v>
      </c>
      <c r="N42" s="22">
        <v>24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4"/>
        <v>31</v>
      </c>
      <c r="K43" s="22">
        <v>1</v>
      </c>
      <c r="L43" s="22">
        <f>COUNTA(_xlfn.TEXTSPLIT(H43,","))</f>
        <v>1</v>
      </c>
      <c r="M43" s="22">
        <f t="shared" si="6"/>
        <v>0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4"/>
        <v>2</v>
      </c>
      <c r="M44" s="22">
        <f t="shared" si="6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4"/>
        <v>2</v>
      </c>
      <c r="M45" s="22">
        <f t="shared" si="6"/>
        <v>0</v>
      </c>
      <c r="N45" s="22">
        <v>2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4"/>
        <v>4</v>
      </c>
      <c r="M46" s="22">
        <f t="shared" si="6"/>
        <v>0</v>
      </c>
      <c r="N46" s="22">
        <v>4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4"/>
        <v>0</v>
      </c>
      <c r="M47" s="22">
        <f t="shared" si="6"/>
        <v>0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3" t="s">
        <v>25</v>
      </c>
      <c r="J48" s="22">
        <f t="shared" si="4"/>
        <v>6</v>
      </c>
      <c r="M48" s="22">
        <f t="shared" si="6"/>
        <v>0</v>
      </c>
      <c r="N48" s="22">
        <v>6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4"/>
        <v>1</v>
      </c>
      <c r="M49" s="22">
        <f t="shared" si="6"/>
        <v>0</v>
      </c>
      <c r="N49" s="22">
        <v>1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4"/>
        <v>3</v>
      </c>
      <c r="M50" s="22">
        <f t="shared" si="6"/>
        <v>0</v>
      </c>
      <c r="N50" s="22">
        <v>3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4"/>
        <v>0</v>
      </c>
      <c r="M51" s="22">
        <f t="shared" si="6"/>
        <v>0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4"/>
        <v>3</v>
      </c>
      <c r="M52" s="22">
        <f t="shared" si="6"/>
        <v>0</v>
      </c>
      <c r="N52" s="22">
        <v>3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4"/>
        <v>1</v>
      </c>
      <c r="M53" s="22">
        <f t="shared" si="6"/>
        <v>0</v>
      </c>
      <c r="N53" s="22">
        <v>1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4"/>
        <v>2</v>
      </c>
      <c r="M54" s="22">
        <f t="shared" si="6"/>
        <v>0</v>
      </c>
      <c r="N54" s="22">
        <v>2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4"/>
        <v>0</v>
      </c>
      <c r="M55" s="22">
        <f t="shared" si="6"/>
        <v>0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4"/>
        <v>0</v>
      </c>
      <c r="M56" s="22">
        <f t="shared" si="6"/>
        <v>0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4"/>
        <v>2</v>
      </c>
      <c r="M57" s="22">
        <f t="shared" si="6"/>
        <v>0</v>
      </c>
      <c r="N57" s="22">
        <v>2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4"/>
        <v>1</v>
      </c>
      <c r="M58" s="22">
        <f t="shared" si="6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4"/>
        <v>0</v>
      </c>
      <c r="M59" s="22">
        <f t="shared" si="6"/>
        <v>0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4"/>
        <v>56</v>
      </c>
      <c r="K60" s="22">
        <v>2</v>
      </c>
      <c r="L60" s="22">
        <f>COUNTA(_xlfn.TEXTSPLIT(H60,","))</f>
        <v>1</v>
      </c>
      <c r="M60" s="22">
        <f t="shared" si="6"/>
        <v>1</v>
      </c>
      <c r="N60" s="22">
        <v>56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4"/>
        <v>63</v>
      </c>
      <c r="K61" s="22">
        <v>2</v>
      </c>
      <c r="L61" s="22">
        <f>COUNTA(_xlfn.TEXTSPLIT(H61,","))</f>
        <v>1</v>
      </c>
      <c r="M61" s="22">
        <f t="shared" si="6"/>
        <v>1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4"/>
        <v>65</v>
      </c>
      <c r="K62" s="22">
        <v>2</v>
      </c>
      <c r="L62" s="22">
        <f>COUNTA(_xlfn.TEXTSPLIT(H62,","))</f>
        <v>1</v>
      </c>
      <c r="M62" s="22">
        <f t="shared" si="6"/>
        <v>1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4"/>
        <v>18</v>
      </c>
      <c r="M63" s="22">
        <f t="shared" si="6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4"/>
        <v>9</v>
      </c>
      <c r="M64" s="22">
        <f t="shared" si="6"/>
        <v>0</v>
      </c>
      <c r="N64" s="22">
        <v>9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4"/>
        <v>9</v>
      </c>
      <c r="M65" s="22">
        <f t="shared" si="6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7">SUM(N66:O66)</f>
        <v>0</v>
      </c>
      <c r="M66" s="22">
        <f t="shared" si="6"/>
        <v>0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7"/>
        <v>12</v>
      </c>
      <c r="M67" s="22">
        <f t="shared" ref="M67:M98" si="8">K67-L67</f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7"/>
        <v>0</v>
      </c>
      <c r="M68" s="22">
        <f t="shared" si="8"/>
        <v>0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7"/>
        <v>8</v>
      </c>
      <c r="M69" s="22">
        <f t="shared" si="8"/>
        <v>0</v>
      </c>
      <c r="N69" s="22">
        <v>8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7"/>
        <v>46</v>
      </c>
      <c r="K70" s="22">
        <v>2</v>
      </c>
      <c r="L70" s="22">
        <f>COUNTA(_xlfn.TEXTSPLIT(H70,","))</f>
        <v>1</v>
      </c>
      <c r="M70" s="22">
        <f t="shared" si="8"/>
        <v>1</v>
      </c>
      <c r="N70" s="22">
        <v>46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7"/>
        <v>6</v>
      </c>
      <c r="M71" s="22">
        <f t="shared" si="8"/>
        <v>0</v>
      </c>
      <c r="N71" s="22">
        <v>6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7"/>
        <v>0</v>
      </c>
      <c r="M72" s="22">
        <f t="shared" si="8"/>
        <v>0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7"/>
        <v>24</v>
      </c>
      <c r="M73" s="22">
        <f t="shared" si="8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7"/>
        <v>38</v>
      </c>
      <c r="K74" s="22">
        <v>1</v>
      </c>
      <c r="L74" s="22">
        <f>COUNTA(_xlfn.TEXTSPLIT(H74,","))</f>
        <v>1</v>
      </c>
      <c r="M74" s="22">
        <f t="shared" si="8"/>
        <v>0</v>
      </c>
      <c r="N74" s="22">
        <v>38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3" t="s">
        <v>42</v>
      </c>
      <c r="J75" s="22">
        <f t="shared" si="7"/>
        <v>38</v>
      </c>
      <c r="K75" s="22">
        <v>1</v>
      </c>
      <c r="L75" s="22">
        <f>COUNTA(_xlfn.TEXTSPLIT(H75,","))</f>
        <v>1</v>
      </c>
      <c r="M75" s="22">
        <f t="shared" si="8"/>
        <v>0</v>
      </c>
      <c r="N75" s="22">
        <v>38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7"/>
        <v>0</v>
      </c>
      <c r="M76" s="22">
        <f t="shared" si="8"/>
        <v>0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7"/>
        <v>18</v>
      </c>
      <c r="M77" s="22">
        <f t="shared" si="8"/>
        <v>0</v>
      </c>
      <c r="N77" s="22">
        <v>18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7"/>
        <v>20</v>
      </c>
      <c r="M78" s="22">
        <f t="shared" si="8"/>
        <v>0</v>
      </c>
      <c r="N78" s="22">
        <v>20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7"/>
        <v>12</v>
      </c>
      <c r="M79" s="22">
        <f t="shared" si="8"/>
        <v>0</v>
      </c>
      <c r="N79" s="22">
        <v>12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7"/>
        <v>0</v>
      </c>
      <c r="M80" s="22">
        <f t="shared" si="8"/>
        <v>0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7"/>
        <v>31</v>
      </c>
      <c r="K81" s="22">
        <v>1</v>
      </c>
      <c r="L81" s="22">
        <f>COUNTA(_xlfn.TEXTSPLIT(H81,","))</f>
        <v>1</v>
      </c>
      <c r="M81" s="22">
        <f t="shared" si="8"/>
        <v>0</v>
      </c>
      <c r="N81" s="22">
        <v>31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7"/>
        <v>4</v>
      </c>
      <c r="M82" s="22">
        <f t="shared" si="8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7"/>
        <v>6</v>
      </c>
      <c r="M83" s="22">
        <f t="shared" si="8"/>
        <v>0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7"/>
        <v>4</v>
      </c>
      <c r="M84" s="22">
        <f t="shared" si="8"/>
        <v>0</v>
      </c>
      <c r="N84" s="22">
        <v>4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7"/>
        <v>0</v>
      </c>
      <c r="M85" s="22">
        <f t="shared" si="8"/>
        <v>0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7"/>
        <v>6</v>
      </c>
      <c r="M86" s="22">
        <f t="shared" si="8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7"/>
        <v>2</v>
      </c>
      <c r="M87" s="22">
        <f t="shared" si="8"/>
        <v>0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7"/>
        <v>0</v>
      </c>
      <c r="M88" s="22">
        <f t="shared" si="8"/>
        <v>0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7"/>
        <v>0</v>
      </c>
      <c r="M89" s="22">
        <f t="shared" si="8"/>
        <v>0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3" t="s">
        <v>42</v>
      </c>
      <c r="J90" s="22">
        <f t="shared" si="7"/>
        <v>2</v>
      </c>
      <c r="M90" s="22">
        <f t="shared" si="8"/>
        <v>0</v>
      </c>
      <c r="N90" s="22">
        <v>2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7"/>
        <v>0</v>
      </c>
      <c r="M91" s="22">
        <f t="shared" si="8"/>
        <v>0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7"/>
        <v>0</v>
      </c>
      <c r="M92" s="22">
        <f t="shared" si="8"/>
        <v>0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7"/>
        <v>0</v>
      </c>
      <c r="M93" s="22">
        <f t="shared" si="8"/>
        <v>0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7"/>
        <v>10</v>
      </c>
      <c r="M94" s="22">
        <f t="shared" si="8"/>
        <v>0</v>
      </c>
      <c r="N94" s="22">
        <v>10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7"/>
        <v>7</v>
      </c>
      <c r="M95" s="22">
        <f t="shared" si="8"/>
        <v>0</v>
      </c>
      <c r="N95" s="22">
        <v>7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7"/>
        <v>8</v>
      </c>
      <c r="M96" s="22">
        <f t="shared" si="8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7"/>
        <v>0</v>
      </c>
      <c r="M97" s="22">
        <f t="shared" si="8"/>
        <v>0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7"/>
        <v>0</v>
      </c>
      <c r="M98" s="22">
        <f t="shared" si="8"/>
        <v>0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7"/>
        <v>3</v>
      </c>
      <c r="M99" s="22">
        <f t="shared" ref="M99:M130" si="9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7"/>
        <v>0</v>
      </c>
      <c r="M100" s="22">
        <f t="shared" si="9"/>
        <v>0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7"/>
        <v>1</v>
      </c>
      <c r="M101" s="22">
        <f t="shared" si="9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9"/>
        <v>0</v>
      </c>
      <c r="T102" s="25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</row>
    <row r="2" spans="1:16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46275</v>
      </c>
      <c r="F2" s="15" t="str">
        <f>VLOOKUP($I2,Table1[[#All],[course_name]:[epitirites]],5,FALSE)</f>
        <v>18:00:00</v>
      </c>
      <c r="I2" t="s">
        <v>24</v>
      </c>
      <c r="J2">
        <v>15</v>
      </c>
      <c r="N2" s="18" t="s">
        <v>275</v>
      </c>
      <c r="O2" s="18" t="s">
        <v>276</v>
      </c>
      <c r="P2" s="19">
        <v>15</v>
      </c>
    </row>
    <row r="3" spans="1:16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46184</v>
      </c>
      <c r="F3" s="17">
        <v>0.5</v>
      </c>
      <c r="I3" t="s">
        <v>33</v>
      </c>
      <c r="J3">
        <v>5</v>
      </c>
      <c r="N3" s="18" t="s">
        <v>278</v>
      </c>
      <c r="O3" s="18" t="s">
        <v>279</v>
      </c>
      <c r="P3" s="19">
        <v>5</v>
      </c>
    </row>
    <row r="4" spans="1:16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v>4</v>
      </c>
      <c r="N4" s="18" t="s">
        <v>281</v>
      </c>
      <c r="O4" s="18" t="s">
        <v>282</v>
      </c>
      <c r="P4" s="19">
        <v>5</v>
      </c>
    </row>
    <row r="5" spans="1:16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v>4</v>
      </c>
      <c r="N5" s="18" t="s">
        <v>284</v>
      </c>
      <c r="O5" s="18" t="s">
        <v>285</v>
      </c>
      <c r="P5" s="19">
        <v>4</v>
      </c>
    </row>
    <row r="6" spans="1:16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v>4</v>
      </c>
      <c r="N6" s="18" t="s">
        <v>287</v>
      </c>
      <c r="O6" s="18" t="s">
        <v>288</v>
      </c>
      <c r="P6" s="19">
        <v>2</v>
      </c>
    </row>
    <row r="7" spans="1:16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46280</v>
      </c>
      <c r="F7" s="15" t="str">
        <f>VLOOKUP($I7,Table1[[#All],[course_name]:[epitirites]],5,FALSE)</f>
        <v>15:00:00</v>
      </c>
      <c r="I7" t="s">
        <v>35</v>
      </c>
      <c r="J7">
        <v>4</v>
      </c>
      <c r="N7" s="18" t="s">
        <v>290</v>
      </c>
      <c r="O7" s="18" t="s">
        <v>291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v>17</v>
      </c>
      <c r="N8" s="18" t="s">
        <v>293</v>
      </c>
      <c r="O8" s="18" t="s">
        <v>294</v>
      </c>
      <c r="P8" s="19">
        <v>3</v>
      </c>
    </row>
    <row r="9" spans="1:16" x14ac:dyDescent="0.25">
      <c r="A9" t="s">
        <v>295</v>
      </c>
      <c r="B9" t="s">
        <v>296</v>
      </c>
      <c r="C9" s="22">
        <v>2</v>
      </c>
      <c r="D9" s="13" t="s">
        <v>19</v>
      </c>
      <c r="E9" s="14">
        <f>VLOOKUP($I9,Table1[[#All],[course_name]:[epitirites]],4,FALSE)</f>
        <v>46274</v>
      </c>
      <c r="F9" s="15" t="str">
        <f>VLOOKUP($I9,Table1[[#All],[course_name]:[epitirites]],5,FALSE)</f>
        <v>15:00:00</v>
      </c>
      <c r="I9" t="s">
        <v>78</v>
      </c>
      <c r="J9">
        <v>2</v>
      </c>
      <c r="N9" s="18" t="s">
        <v>297</v>
      </c>
      <c r="O9" s="18" t="s">
        <v>298</v>
      </c>
      <c r="P9" s="19">
        <v>4</v>
      </c>
    </row>
    <row r="10" spans="1:16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>
        <v>3</v>
      </c>
      <c r="N10" s="18" t="s">
        <v>301</v>
      </c>
      <c r="O10" s="18" t="s">
        <v>302</v>
      </c>
      <c r="P10" s="19">
        <v>1</v>
      </c>
    </row>
    <row r="11" spans="1:16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v>1</v>
      </c>
      <c r="N11" s="18" t="s">
        <v>304</v>
      </c>
      <c r="O11" s="18" t="s">
        <v>305</v>
      </c>
      <c r="P11" s="19">
        <v>4</v>
      </c>
    </row>
    <row r="12" spans="1:16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46275</v>
      </c>
      <c r="F12" s="15" t="str">
        <f>VLOOKUP($I12,Table1[[#All],[course_name]:[epitirites]],5,FALSE)</f>
        <v>15:00:00</v>
      </c>
      <c r="I12" t="s">
        <v>117</v>
      </c>
      <c r="J12">
        <v>4</v>
      </c>
      <c r="N12" s="18" t="s">
        <v>306</v>
      </c>
      <c r="O12" s="18" t="s">
        <v>307</v>
      </c>
      <c r="P12" s="19">
        <v>17</v>
      </c>
    </row>
    <row r="13" spans="1:16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v>7</v>
      </c>
      <c r="N13" s="18" t="s">
        <v>295</v>
      </c>
      <c r="O13" s="18" t="s">
        <v>309</v>
      </c>
      <c r="P13" s="19">
        <v>2</v>
      </c>
    </row>
    <row r="14" spans="1:16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v>2</v>
      </c>
      <c r="N14" s="18" t="s">
        <v>299</v>
      </c>
      <c r="O14" s="18" t="s">
        <v>311</v>
      </c>
      <c r="P14" s="19">
        <v>3</v>
      </c>
    </row>
    <row r="15" spans="1:16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v>10</v>
      </c>
      <c r="N15" s="18" t="s">
        <v>312</v>
      </c>
      <c r="O15" s="18" t="s">
        <v>313</v>
      </c>
      <c r="P15" s="19">
        <v>1</v>
      </c>
    </row>
    <row r="16" spans="1:16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46267</v>
      </c>
      <c r="F16" s="15" t="str">
        <f>VLOOKUP($I16,Table1[[#All],[course_name]:[epitirites]],5,FALSE)</f>
        <v>15:00:00</v>
      </c>
      <c r="I16" t="s">
        <v>124</v>
      </c>
      <c r="J16">
        <v>5</v>
      </c>
      <c r="N16" s="18" t="s">
        <v>315</v>
      </c>
      <c r="O16" s="18" t="s">
        <v>316</v>
      </c>
      <c r="P16" s="19">
        <v>1</v>
      </c>
    </row>
    <row r="17" spans="1:16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v>2</v>
      </c>
      <c r="N17" s="18" t="s">
        <v>317</v>
      </c>
      <c r="O17" s="18" t="s">
        <v>318</v>
      </c>
      <c r="P17" s="19">
        <v>4</v>
      </c>
    </row>
    <row r="18" spans="1:16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v>4</v>
      </c>
      <c r="N18" s="18" t="s">
        <v>320</v>
      </c>
      <c r="O18" s="18" t="s">
        <v>321</v>
      </c>
      <c r="P18" s="19">
        <v>4</v>
      </c>
    </row>
    <row r="19" spans="1:16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46185</v>
      </c>
      <c r="F19" s="17">
        <v>0.625</v>
      </c>
      <c r="J19">
        <v>4</v>
      </c>
      <c r="N19" s="18" t="s">
        <v>323</v>
      </c>
      <c r="O19" s="18" t="s">
        <v>324</v>
      </c>
      <c r="P19" s="19">
        <v>7</v>
      </c>
    </row>
    <row r="20" spans="1:16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v>10</v>
      </c>
      <c r="N20" s="18" t="s">
        <v>326</v>
      </c>
      <c r="O20" s="18" t="s">
        <v>327</v>
      </c>
      <c r="P20" s="19">
        <v>2</v>
      </c>
    </row>
    <row r="21" spans="1:16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v>5</v>
      </c>
      <c r="N21" s="18" t="s">
        <v>329</v>
      </c>
      <c r="O21" s="18" t="s">
        <v>330</v>
      </c>
      <c r="P21" s="19">
        <v>2</v>
      </c>
    </row>
    <row r="22" spans="1:16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v>4</v>
      </c>
      <c r="N22" s="18" t="s">
        <v>332</v>
      </c>
      <c r="O22" s="18" t="s">
        <v>333</v>
      </c>
      <c r="P22" s="19">
        <v>10</v>
      </c>
    </row>
    <row r="23" spans="1:16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v>2</v>
      </c>
      <c r="N23" s="18" t="s">
        <v>335</v>
      </c>
      <c r="O23" s="18" t="s">
        <v>336</v>
      </c>
      <c r="P23" s="19">
        <v>8</v>
      </c>
    </row>
    <row r="24" spans="1:16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46189</v>
      </c>
      <c r="F24" s="17">
        <v>0.625</v>
      </c>
      <c r="J24">
        <v>4</v>
      </c>
      <c r="N24" s="18" t="s">
        <v>338</v>
      </c>
      <c r="O24" s="18" t="s">
        <v>339</v>
      </c>
      <c r="P24" s="19">
        <v>5</v>
      </c>
    </row>
    <row r="25" spans="1:16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v>4</v>
      </c>
      <c r="N25" s="18" t="s">
        <v>341</v>
      </c>
      <c r="O25" s="18" t="s">
        <v>342</v>
      </c>
      <c r="P25" s="19">
        <v>5</v>
      </c>
    </row>
    <row r="26" spans="1:16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v>15</v>
      </c>
      <c r="N26" s="18" t="s">
        <v>344</v>
      </c>
      <c r="O26" s="18" t="s">
        <v>345</v>
      </c>
      <c r="P26" s="19">
        <v>2</v>
      </c>
    </row>
    <row r="27" spans="1:16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v>6</v>
      </c>
      <c r="N27" s="18" t="s">
        <v>347</v>
      </c>
      <c r="O27" s="18" t="s">
        <v>348</v>
      </c>
      <c r="P27" s="19">
        <v>2</v>
      </c>
    </row>
    <row r="28" spans="1:16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v>3</v>
      </c>
      <c r="N28" s="18" t="s">
        <v>349</v>
      </c>
      <c r="O28" s="18" t="s">
        <v>350</v>
      </c>
      <c r="P28" s="19">
        <v>4</v>
      </c>
    </row>
    <row r="29" spans="1:16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v>5</v>
      </c>
      <c r="N29" s="18" t="s">
        <v>351</v>
      </c>
      <c r="O29" s="18" t="s">
        <v>352</v>
      </c>
      <c r="P29" s="19">
        <v>4</v>
      </c>
    </row>
    <row r="30" spans="1:16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v>4</v>
      </c>
      <c r="N30" s="18" t="s">
        <v>354</v>
      </c>
      <c r="O30" s="18" t="s">
        <v>355</v>
      </c>
      <c r="P30" s="19">
        <v>4</v>
      </c>
    </row>
    <row r="31" spans="1:16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v>1</v>
      </c>
      <c r="N31" s="18" t="s">
        <v>357</v>
      </c>
      <c r="O31" s="18" t="s">
        <v>358</v>
      </c>
      <c r="P31" s="19">
        <v>10</v>
      </c>
    </row>
    <row r="32" spans="1:16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v>3</v>
      </c>
      <c r="N32" s="18" t="s">
        <v>360</v>
      </c>
      <c r="O32" s="18" t="s">
        <v>361</v>
      </c>
      <c r="P32" s="19">
        <v>10</v>
      </c>
    </row>
    <row r="33" spans="1:16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v>3</v>
      </c>
      <c r="N33" s="18" t="s">
        <v>363</v>
      </c>
      <c r="O33" s="18" t="s">
        <v>364</v>
      </c>
      <c r="P33" s="19">
        <v>5</v>
      </c>
    </row>
    <row r="34" spans="1:16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v>5</v>
      </c>
      <c r="N34" s="18" t="s">
        <v>365</v>
      </c>
      <c r="O34" s="18" t="s">
        <v>366</v>
      </c>
      <c r="P34" s="19">
        <v>5</v>
      </c>
    </row>
    <row r="35" spans="1:16" x14ac:dyDescent="0.25">
      <c r="A35">
        <f>A34+1</f>
        <v>605</v>
      </c>
      <c r="B35" t="s">
        <v>122</v>
      </c>
      <c r="C35" s="22">
        <v>6</v>
      </c>
      <c r="D35" t="e">
        <f>VLOOKUP($I35,Table1[[#All],[course_name]:[epitirites]],3,FALSE)</f>
        <v>#N/A</v>
      </c>
      <c r="E35" s="14" t="e">
        <f>VLOOKUP($I35,Table1[[#All],[course_name]:[epitirites]],4,FALSE)</f>
        <v>#N/A</v>
      </c>
      <c r="F35" s="15" t="e">
        <f>VLOOKUP($I35,Table1[[#All],[course_name]:[epitirites]],5,FALSE)</f>
        <v>#N/A</v>
      </c>
      <c r="I35" t="s">
        <v>177</v>
      </c>
      <c r="J35">
        <v>2</v>
      </c>
      <c r="N35" s="18" t="s">
        <v>367</v>
      </c>
      <c r="O35" s="18" t="s">
        <v>368</v>
      </c>
      <c r="P35" s="19">
        <v>2</v>
      </c>
    </row>
    <row r="36" spans="1:16" x14ac:dyDescent="0.25">
      <c r="A36" t="s">
        <v>369</v>
      </c>
      <c r="B36" t="s">
        <v>370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v>5</v>
      </c>
      <c r="N36" s="18" t="s">
        <v>371</v>
      </c>
      <c r="O36" s="18" t="s">
        <v>372</v>
      </c>
      <c r="P36" s="19">
        <v>4</v>
      </c>
    </row>
    <row r="37" spans="1:16" x14ac:dyDescent="0.25">
      <c r="A37" t="s">
        <v>373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>
        <v>3</v>
      </c>
      <c r="N37" s="18" t="s">
        <v>374</v>
      </c>
      <c r="O37" s="18" t="s">
        <v>375</v>
      </c>
      <c r="P37" s="19">
        <v>2</v>
      </c>
    </row>
    <row r="38" spans="1:16" x14ac:dyDescent="0.25">
      <c r="A38">
        <v>701</v>
      </c>
      <c r="B38" t="s">
        <v>376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v>1</v>
      </c>
      <c r="N38" s="18" t="s">
        <v>377</v>
      </c>
      <c r="O38" s="18" t="s">
        <v>378</v>
      </c>
      <c r="P38" s="19">
        <v>2</v>
      </c>
    </row>
    <row r="39" spans="1:16" x14ac:dyDescent="0.25">
      <c r="A39">
        <v>702</v>
      </c>
      <c r="B39" t="s">
        <v>379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v>3</v>
      </c>
      <c r="N39" s="18" t="s">
        <v>380</v>
      </c>
      <c r="O39" s="18" t="s">
        <v>381</v>
      </c>
      <c r="P39" s="19">
        <v>4</v>
      </c>
    </row>
    <row r="40" spans="1:16" x14ac:dyDescent="0.25">
      <c r="A40" t="s">
        <v>382</v>
      </c>
      <c r="B40" t="s">
        <v>250</v>
      </c>
      <c r="C40" s="22">
        <v>7</v>
      </c>
      <c r="D40" s="13" t="s">
        <v>80</v>
      </c>
      <c r="E40" s="16">
        <v>46203</v>
      </c>
      <c r="F40" s="17">
        <v>0.625</v>
      </c>
      <c r="I40" t="s">
        <v>250</v>
      </c>
      <c r="J40">
        <v>2</v>
      </c>
      <c r="N40" s="18" t="s">
        <v>383</v>
      </c>
      <c r="O40" s="18" t="s">
        <v>384</v>
      </c>
      <c r="P40" s="19">
        <v>4</v>
      </c>
    </row>
    <row r="41" spans="1:16" x14ac:dyDescent="0.25">
      <c r="A41" t="s">
        <v>385</v>
      </c>
      <c r="B41" t="s">
        <v>386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v>5</v>
      </c>
      <c r="N41" s="18" t="s">
        <v>387</v>
      </c>
      <c r="O41" s="18" t="s">
        <v>388</v>
      </c>
      <c r="P41" s="19">
        <v>2</v>
      </c>
    </row>
    <row r="42" spans="1:16" x14ac:dyDescent="0.25">
      <c r="A42" t="s">
        <v>389</v>
      </c>
      <c r="B42" t="s">
        <v>390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v>6</v>
      </c>
      <c r="N42" s="18" t="s">
        <v>391</v>
      </c>
      <c r="O42" s="18" t="s">
        <v>392</v>
      </c>
      <c r="P42" s="19">
        <v>4</v>
      </c>
    </row>
    <row r="43" spans="1:16" x14ac:dyDescent="0.25">
      <c r="A43" t="s">
        <v>393</v>
      </c>
      <c r="B43" t="s">
        <v>394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v>2</v>
      </c>
      <c r="N43" s="18" t="s">
        <v>395</v>
      </c>
      <c r="O43" s="18" t="s">
        <v>396</v>
      </c>
      <c r="P43" s="19">
        <v>15</v>
      </c>
    </row>
    <row r="44" spans="1:16" x14ac:dyDescent="0.25">
      <c r="A44" t="s">
        <v>397</v>
      </c>
      <c r="B44" t="s">
        <v>398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12:00:00</v>
      </c>
      <c r="I44" t="s">
        <v>98</v>
      </c>
      <c r="J44">
        <v>2</v>
      </c>
      <c r="N44" s="18" t="s">
        <v>399</v>
      </c>
      <c r="O44" s="18" t="s">
        <v>400</v>
      </c>
      <c r="P44" s="19">
        <v>15</v>
      </c>
    </row>
    <row r="45" spans="1:16" x14ac:dyDescent="0.25">
      <c r="A45" t="s">
        <v>401</v>
      </c>
      <c r="B45" t="s">
        <v>402</v>
      </c>
      <c r="C45" s="22">
        <v>7</v>
      </c>
      <c r="D45" s="13" t="s">
        <v>41</v>
      </c>
      <c r="E45" s="16">
        <v>46195</v>
      </c>
      <c r="F45" s="17">
        <v>0.5</v>
      </c>
      <c r="J45">
        <v>2</v>
      </c>
      <c r="N45" s="18" t="s">
        <v>403</v>
      </c>
      <c r="O45" s="18" t="s">
        <v>404</v>
      </c>
      <c r="P45" s="19">
        <v>6</v>
      </c>
    </row>
    <row r="46" spans="1:16" x14ac:dyDescent="0.25">
      <c r="N46" s="18" t="s">
        <v>405</v>
      </c>
      <c r="O46" s="18" t="s">
        <v>406</v>
      </c>
      <c r="P46" s="19">
        <v>6</v>
      </c>
    </row>
    <row r="47" spans="1:16" x14ac:dyDescent="0.25">
      <c r="N47" s="18" t="s">
        <v>407</v>
      </c>
      <c r="O47" s="18" t="s">
        <v>408</v>
      </c>
      <c r="P47" s="19">
        <v>3</v>
      </c>
    </row>
    <row r="48" spans="1:16" x14ac:dyDescent="0.25">
      <c r="N48" s="18" t="s">
        <v>409</v>
      </c>
      <c r="O48" s="18" t="s">
        <v>410</v>
      </c>
      <c r="P48" s="19">
        <v>3</v>
      </c>
    </row>
    <row r="49" spans="14:16" x14ac:dyDescent="0.25">
      <c r="N49" s="18" t="s">
        <v>411</v>
      </c>
      <c r="O49" s="18" t="s">
        <v>412</v>
      </c>
      <c r="P49" s="19">
        <v>5</v>
      </c>
    </row>
    <row r="50" spans="14:16" x14ac:dyDescent="0.25">
      <c r="N50" s="18" t="s">
        <v>413</v>
      </c>
      <c r="O50" s="18" t="s">
        <v>414</v>
      </c>
      <c r="P50" s="19">
        <v>5</v>
      </c>
    </row>
    <row r="51" spans="14:16" x14ac:dyDescent="0.25">
      <c r="N51" s="18" t="s">
        <v>415</v>
      </c>
      <c r="O51" s="18" t="s">
        <v>416</v>
      </c>
      <c r="P51" s="19">
        <v>4</v>
      </c>
    </row>
    <row r="52" spans="14:16" x14ac:dyDescent="0.25">
      <c r="N52" s="18" t="s">
        <v>417</v>
      </c>
      <c r="O52" s="18" t="s">
        <v>418</v>
      </c>
      <c r="P52" s="19">
        <v>1</v>
      </c>
    </row>
    <row r="53" spans="14:16" x14ac:dyDescent="0.25">
      <c r="N53" s="18" t="s">
        <v>419</v>
      </c>
      <c r="O53" s="18" t="s">
        <v>420</v>
      </c>
      <c r="P53" s="19">
        <v>1</v>
      </c>
    </row>
    <row r="54" spans="14:16" x14ac:dyDescent="0.25">
      <c r="N54" s="18" t="s">
        <v>421</v>
      </c>
      <c r="O54" s="18" t="s">
        <v>422</v>
      </c>
      <c r="P54" s="19">
        <v>3</v>
      </c>
    </row>
    <row r="55" spans="14:16" x14ac:dyDescent="0.25">
      <c r="N55" s="18" t="s">
        <v>423</v>
      </c>
      <c r="O55" s="18" t="s">
        <v>424</v>
      </c>
      <c r="P55" s="19">
        <v>3</v>
      </c>
    </row>
    <row r="56" spans="14:16" x14ac:dyDescent="0.25">
      <c r="N56" s="18" t="s">
        <v>425</v>
      </c>
      <c r="O56" s="18" t="s">
        <v>426</v>
      </c>
      <c r="P56" s="19">
        <v>3</v>
      </c>
    </row>
    <row r="57" spans="14:16" x14ac:dyDescent="0.25">
      <c r="N57" s="18" t="s">
        <v>427</v>
      </c>
      <c r="O57" s="18" t="s">
        <v>428</v>
      </c>
      <c r="P57" s="19">
        <v>3</v>
      </c>
    </row>
    <row r="58" spans="14:16" x14ac:dyDescent="0.25">
      <c r="N58" s="18" t="s">
        <v>429</v>
      </c>
      <c r="O58" s="18" t="s">
        <v>430</v>
      </c>
      <c r="P58" s="19">
        <v>5</v>
      </c>
    </row>
    <row r="59" spans="14:16" x14ac:dyDescent="0.25">
      <c r="N59" s="18" t="s">
        <v>431</v>
      </c>
      <c r="O59" s="18" t="s">
        <v>432</v>
      </c>
      <c r="P59" s="19">
        <v>5</v>
      </c>
    </row>
    <row r="60" spans="14:16" x14ac:dyDescent="0.25">
      <c r="N60" s="18" t="s">
        <v>433</v>
      </c>
      <c r="O60" s="18" t="s">
        <v>434</v>
      </c>
      <c r="P60" s="19">
        <v>5</v>
      </c>
    </row>
    <row r="61" spans="14:16" x14ac:dyDescent="0.25">
      <c r="N61" s="18" t="s">
        <v>435</v>
      </c>
      <c r="O61" s="18" t="s">
        <v>436</v>
      </c>
      <c r="P61" s="19">
        <v>5</v>
      </c>
    </row>
    <row r="62" spans="14:16" x14ac:dyDescent="0.25">
      <c r="N62" s="18" t="s">
        <v>437</v>
      </c>
      <c r="O62" s="18" t="s">
        <v>438</v>
      </c>
      <c r="P62" s="19">
        <v>2</v>
      </c>
    </row>
    <row r="63" spans="14:16" x14ac:dyDescent="0.25">
      <c r="N63" s="18" t="s">
        <v>439</v>
      </c>
      <c r="O63" s="18" t="s">
        <v>440</v>
      </c>
      <c r="P63" s="19">
        <v>2</v>
      </c>
    </row>
    <row r="64" spans="14:16" x14ac:dyDescent="0.25">
      <c r="N64" s="18" t="s">
        <v>441</v>
      </c>
      <c r="O64" s="18" t="s">
        <v>442</v>
      </c>
      <c r="P64" s="19"/>
    </row>
    <row r="65" spans="14:16" x14ac:dyDescent="0.25">
      <c r="N65" s="18" t="s">
        <v>443</v>
      </c>
      <c r="O65" s="18" t="s">
        <v>444</v>
      </c>
      <c r="P65" s="19"/>
    </row>
    <row r="66" spans="14:16" x14ac:dyDescent="0.25">
      <c r="N66" s="18" t="s">
        <v>445</v>
      </c>
      <c r="O66" s="18" t="s">
        <v>446</v>
      </c>
      <c r="P66" s="19"/>
    </row>
    <row r="67" spans="14:16" x14ac:dyDescent="0.25">
      <c r="N67" s="18" t="s">
        <v>447</v>
      </c>
      <c r="O67" s="18" t="s">
        <v>448</v>
      </c>
      <c r="P67" s="19"/>
    </row>
    <row r="68" spans="14:16" x14ac:dyDescent="0.25">
      <c r="N68" s="18" t="s">
        <v>449</v>
      </c>
      <c r="O68" s="18" t="s">
        <v>450</v>
      </c>
      <c r="P68" s="19"/>
    </row>
    <row r="69" spans="14:16" x14ac:dyDescent="0.25">
      <c r="N69" s="18" t="s">
        <v>451</v>
      </c>
      <c r="O69" s="18" t="s">
        <v>452</v>
      </c>
      <c r="P69" s="19"/>
    </row>
    <row r="70" spans="14:16" x14ac:dyDescent="0.25">
      <c r="N70" s="18" t="s">
        <v>453</v>
      </c>
      <c r="O70" s="18" t="s">
        <v>454</v>
      </c>
      <c r="P70" s="19"/>
    </row>
    <row r="71" spans="14:16" x14ac:dyDescent="0.25">
      <c r="N71" s="18" t="s">
        <v>455</v>
      </c>
      <c r="O71" s="18" t="s">
        <v>456</v>
      </c>
      <c r="P71" s="19"/>
    </row>
    <row r="72" spans="14:16" x14ac:dyDescent="0.25">
      <c r="N72" s="18" t="s">
        <v>457</v>
      </c>
      <c r="O72" s="18" t="s">
        <v>458</v>
      </c>
      <c r="P72" s="19"/>
    </row>
    <row r="73" spans="14:16" x14ac:dyDescent="0.25">
      <c r="N73" s="18" t="s">
        <v>459</v>
      </c>
      <c r="O73" s="18" t="s">
        <v>460</v>
      </c>
      <c r="P73" s="19"/>
    </row>
    <row r="74" spans="14:16" x14ac:dyDescent="0.25">
      <c r="N74" s="18" t="s">
        <v>461</v>
      </c>
      <c r="O74" s="18" t="s">
        <v>462</v>
      </c>
      <c r="P74" s="19"/>
    </row>
    <row r="75" spans="14:16" x14ac:dyDescent="0.25">
      <c r="N75" s="18" t="s">
        <v>463</v>
      </c>
      <c r="O75" s="18" t="s">
        <v>464</v>
      </c>
      <c r="P75" s="19"/>
    </row>
    <row r="76" spans="14:16" x14ac:dyDescent="0.25">
      <c r="N76" s="18" t="s">
        <v>465</v>
      </c>
      <c r="O76" s="18" t="s">
        <v>466</v>
      </c>
      <c r="P76" s="19"/>
    </row>
    <row r="77" spans="14:16" x14ac:dyDescent="0.25">
      <c r="N77" s="18" t="s">
        <v>467</v>
      </c>
      <c r="O77" s="18" t="s">
        <v>468</v>
      </c>
      <c r="P77" s="19"/>
    </row>
    <row r="78" spans="14:16" x14ac:dyDescent="0.25">
      <c r="N78" s="18" t="s">
        <v>469</v>
      </c>
      <c r="O78" s="18" t="s">
        <v>470</v>
      </c>
      <c r="P78" s="19"/>
    </row>
    <row r="79" spans="14:16" x14ac:dyDescent="0.25">
      <c r="N79" s="18" t="s">
        <v>471</v>
      </c>
      <c r="O79" s="18" t="s">
        <v>472</v>
      </c>
      <c r="P79" s="19"/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473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474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475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476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477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477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478</v>
      </c>
      <c r="B43" s="11">
        <v>7</v>
      </c>
      <c r="C43" s="9" t="s">
        <v>479</v>
      </c>
    </row>
    <row r="44" spans="1:3" x14ac:dyDescent="0.25">
      <c r="A44" s="8" t="s">
        <v>480</v>
      </c>
      <c r="B44" s="8">
        <v>7</v>
      </c>
      <c r="C44" s="10" t="s">
        <v>481</v>
      </c>
    </row>
    <row r="45" spans="1:3" x14ac:dyDescent="0.25">
      <c r="A45" s="10" t="s">
        <v>482</v>
      </c>
      <c r="B45" s="10">
        <v>7</v>
      </c>
      <c r="C45" s="10" t="s">
        <v>483</v>
      </c>
    </row>
    <row r="46" spans="1:3" x14ac:dyDescent="0.25">
      <c r="A46" s="8" t="s">
        <v>484</v>
      </c>
      <c r="B46" s="8">
        <v>7</v>
      </c>
    </row>
    <row r="47" spans="1:3" x14ac:dyDescent="0.25">
      <c r="A47" s="10" t="s">
        <v>485</v>
      </c>
      <c r="B47" s="10">
        <v>7</v>
      </c>
      <c r="C47" s="11" t="s">
        <v>486</v>
      </c>
    </row>
    <row r="48" spans="1:3" x14ac:dyDescent="0.25">
      <c r="A48" s="10" t="s">
        <v>487</v>
      </c>
      <c r="B48" s="11">
        <v>7</v>
      </c>
      <c r="C48" s="10" t="s">
        <v>488</v>
      </c>
    </row>
    <row r="49" spans="1:4" x14ac:dyDescent="0.25">
      <c r="A49" s="8" t="s">
        <v>489</v>
      </c>
      <c r="B49" s="8">
        <v>7</v>
      </c>
    </row>
    <row r="50" spans="1:4" x14ac:dyDescent="0.25">
      <c r="A50" s="11" t="s">
        <v>490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491</v>
      </c>
      <c r="B54" s="9">
        <v>8</v>
      </c>
    </row>
    <row r="55" spans="1:4" x14ac:dyDescent="0.25">
      <c r="A55" s="11" t="s">
        <v>492</v>
      </c>
      <c r="B55" s="11">
        <v>8</v>
      </c>
      <c r="C55" s="11" t="s">
        <v>493</v>
      </c>
      <c r="D55" s="10" t="s">
        <v>494</v>
      </c>
    </row>
    <row r="56" spans="1:4" x14ac:dyDescent="0.25">
      <c r="A56" s="10" t="s">
        <v>495</v>
      </c>
      <c r="B56" s="10">
        <v>8</v>
      </c>
      <c r="C56" s="10" t="s">
        <v>496</v>
      </c>
      <c r="D56" s="10" t="s">
        <v>497</v>
      </c>
    </row>
    <row r="57" spans="1:4" x14ac:dyDescent="0.25">
      <c r="A57" s="10" t="s">
        <v>498</v>
      </c>
      <c r="B57" s="10">
        <v>8</v>
      </c>
      <c r="C57" s="10" t="s">
        <v>499</v>
      </c>
      <c r="D57" s="11" t="s">
        <v>500</v>
      </c>
    </row>
    <row r="58" spans="1:4" x14ac:dyDescent="0.25">
      <c r="A58" s="8" t="s">
        <v>501</v>
      </c>
      <c r="B58" s="8">
        <v>8</v>
      </c>
    </row>
    <row r="59" spans="1:4" x14ac:dyDescent="0.25">
      <c r="A59" s="10" t="s">
        <v>502</v>
      </c>
      <c r="B59" s="10">
        <v>8</v>
      </c>
      <c r="C59" s="10" t="s">
        <v>503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504</v>
      </c>
      <c r="B62" s="10">
        <v>9</v>
      </c>
      <c r="C62" s="11" t="s">
        <v>505</v>
      </c>
    </row>
    <row r="63" spans="1:4" x14ac:dyDescent="0.25">
      <c r="A63" s="8" t="s">
        <v>506</v>
      </c>
      <c r="B63" s="8">
        <v>9</v>
      </c>
      <c r="C63" s="11" t="s">
        <v>507</v>
      </c>
    </row>
    <row r="64" spans="1:4" x14ac:dyDescent="0.25">
      <c r="A64" s="10" t="s">
        <v>508</v>
      </c>
      <c r="B64" s="10">
        <v>9</v>
      </c>
      <c r="C64" s="11" t="s">
        <v>509</v>
      </c>
      <c r="D64" s="10" t="s">
        <v>510</v>
      </c>
    </row>
    <row r="65" spans="1:3" x14ac:dyDescent="0.25">
      <c r="A65" s="8" t="s">
        <v>511</v>
      </c>
      <c r="B65" s="8">
        <v>9</v>
      </c>
      <c r="C65" s="9" t="s">
        <v>512</v>
      </c>
    </row>
    <row r="66" spans="1:3" x14ac:dyDescent="0.25">
      <c r="A66" s="11" t="s">
        <v>513</v>
      </c>
      <c r="B66" s="11">
        <v>9</v>
      </c>
    </row>
    <row r="67" spans="1:3" x14ac:dyDescent="0.25">
      <c r="A67" s="9" t="s">
        <v>514</v>
      </c>
      <c r="B67" s="9">
        <v>9</v>
      </c>
    </row>
    <row r="68" spans="1:3" x14ac:dyDescent="0.25">
      <c r="A68" s="11" t="s">
        <v>515</v>
      </c>
      <c r="B68" s="11">
        <v>9</v>
      </c>
    </row>
    <row r="69" spans="1:3" x14ac:dyDescent="0.25">
      <c r="B69" s="10"/>
    </row>
    <row r="75" spans="1:3" x14ac:dyDescent="0.25">
      <c r="A75" t="s">
        <v>516</v>
      </c>
      <c r="B75">
        <v>17</v>
      </c>
    </row>
    <row r="76" spans="1:3" x14ac:dyDescent="0.25">
      <c r="A76" t="s">
        <v>517</v>
      </c>
      <c r="B76">
        <v>4</v>
      </c>
    </row>
    <row r="77" spans="1:3" x14ac:dyDescent="0.25">
      <c r="A77" t="s">
        <v>518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2026-07-03T13:07:32Z</dcterms:modified>
</cp:coreProperties>
</file>