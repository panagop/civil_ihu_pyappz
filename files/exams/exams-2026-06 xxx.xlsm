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8_{69D70207-AB08-49D5-BD70-511959A1BEB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J96" i="1" s="1"/>
  <c r="M99" i="1"/>
  <c r="J99" i="1" s="1"/>
  <c r="M101" i="1"/>
  <c r="J101" i="1" s="1"/>
  <c r="M61" i="1"/>
  <c r="J61" i="1" s="1"/>
  <c r="M62" i="1"/>
  <c r="J62" i="1" s="1"/>
  <c r="M63" i="1"/>
  <c r="J63" i="1" s="1"/>
  <c r="M73" i="1"/>
  <c r="J73" i="1" s="1"/>
  <c r="M81" i="1"/>
  <c r="J81" i="1" s="1"/>
  <c r="M82" i="1"/>
  <c r="J82" i="1" s="1"/>
  <c r="M83" i="1"/>
  <c r="J83" i="1" s="1"/>
  <c r="M84" i="1"/>
  <c r="J84" i="1" s="1"/>
  <c r="M85" i="1"/>
  <c r="J85" i="1" s="1"/>
  <c r="M86" i="1"/>
  <c r="J86" i="1" s="1"/>
  <c r="M37" i="1"/>
  <c r="J37" i="1" s="1"/>
  <c r="M38" i="1"/>
  <c r="J38" i="1" s="1"/>
  <c r="M40" i="1"/>
  <c r="J40" i="1" s="1"/>
  <c r="M41" i="1"/>
  <c r="J41" i="1" s="1"/>
  <c r="M42" i="1"/>
  <c r="J42" i="1" s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J7" i="1" s="1"/>
  <c r="M8" i="1"/>
  <c r="J8" i="1" s="1"/>
  <c r="M10" i="1"/>
  <c r="J10" i="1" s="1"/>
  <c r="M11" i="1"/>
  <c r="J11" i="1" s="1"/>
  <c r="M12" i="1"/>
  <c r="J12" i="1" s="1"/>
  <c r="M14" i="1"/>
  <c r="J14" i="1" s="1"/>
  <c r="M15" i="1"/>
  <c r="J15" i="1" s="1"/>
  <c r="M16" i="1"/>
  <c r="M17" i="1"/>
  <c r="J17" i="1" s="1"/>
  <c r="M18" i="1"/>
  <c r="J18" i="1" s="1"/>
  <c r="M19" i="1"/>
  <c r="J19" i="1" s="1"/>
  <c r="M20" i="1"/>
  <c r="J20" i="1" s="1"/>
  <c r="M21" i="1"/>
  <c r="J21" i="1" s="1"/>
  <c r="M22" i="1"/>
  <c r="J22" i="1" s="1"/>
  <c r="M23" i="1"/>
  <c r="J23" i="1" s="1"/>
  <c r="M24" i="1"/>
  <c r="J24" i="1" s="1"/>
  <c r="M25" i="1"/>
  <c r="J25" i="1" s="1"/>
  <c r="M26" i="1"/>
  <c r="J26" i="1" s="1"/>
  <c r="M28" i="1"/>
  <c r="J28" i="1" s="1"/>
  <c r="M29" i="1"/>
  <c r="J29" i="1" s="1"/>
  <c r="M30" i="1"/>
  <c r="J30" i="1" s="1"/>
  <c r="M31" i="1"/>
  <c r="J31" i="1" s="1"/>
  <c r="M32" i="1"/>
  <c r="J32" i="1" s="1"/>
  <c r="M33" i="1"/>
  <c r="J33" i="1" s="1"/>
  <c r="M34" i="1"/>
  <c r="J34" i="1" s="1"/>
  <c r="M35" i="1"/>
  <c r="J35" i="1" s="1"/>
  <c r="M36" i="1"/>
  <c r="J36" i="1" s="1"/>
  <c r="M3" i="1"/>
  <c r="J3" i="1" s="1"/>
  <c r="M4" i="1"/>
  <c r="J4" i="1" s="1"/>
  <c r="M5" i="1"/>
  <c r="J5" i="1" s="1"/>
  <c r="M6" i="1"/>
  <c r="J6" i="1" s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family val="2"/>
            <charset val="161"/>
          </rPr>
          <t xml:space="preserve">ΕΔΙΠ-ΕΤΕΠ: 16*3=48
ΥΔ: από 2
Ανίτα: 5
</t>
        </r>
      </text>
    </comment>
  </commentList>
</comments>
</file>

<file path=xl/sharedStrings.xml><?xml version="1.0" encoding="utf-8"?>
<sst xmlns="http://schemas.openxmlformats.org/spreadsheetml/2006/main" count="1178" uniqueCount="521">
  <si>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</si>
  <si>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</si>
  <si>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</si>
  <si>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</si>
  <si>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</si>
  <si>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</si>
  <si>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</si>
  <si>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</si>
  <si>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</si>
  <si>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</si>
  <si>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</si>
  <si>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</si>
  <si>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</si>
  <si>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</si>
  <si>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</si>
  <si>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</si>
  <si>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</si>
  <si>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</si>
  <si>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</si>
  <si>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</si>
  <si>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</si>
  <si>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</si>
  <si>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</si>
  <si>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</si>
  <si>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</si>
  <si>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</si>
  <si>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</si>
  <si>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</si>
  <si>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</si>
  <si>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</si>
  <si>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</si>
  <si>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</si>
  <si>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</si>
  <si>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</si>
  <si>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</si>
  <si>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</si>
  <si>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</si>
  <si>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</si>
  <si>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</si>
  <si>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</si>
  <si>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</si>
  <si>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</si>
  <si>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</si>
  <si>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</si>
  <si>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</si>
  <si>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</si>
  <si>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</si>
  <si>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</si>
  <si>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</si>
  <si>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</si>
  <si>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</si>
  <si>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</si>
  <si>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</si>
  <si>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</si>
  <si>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</si>
  <si>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</si>
  <si>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</si>
  <si>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</si>
  <si>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</si>
  <si>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</si>
  <si>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</si>
  <si>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</si>
  <si>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</si>
  <si>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</si>
  <si>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</si>
  <si>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</si>
  <si>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</si>
  <si>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</si>
  <si>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</si>
  <si>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</si>
  <si>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</si>
  <si>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</si>
  <si>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</si>
  <si>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</si>
  <si>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</si>
  <si>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</si>
  <si>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</si>
  <si>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</si>
  <si>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</si>
  <si>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</si>
  <si>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</si>
  <si>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</si>
  <si>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</si>
  <si>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</si>
  <si>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</si>
  <si>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</si>
  <si>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</si>
  <si>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</si>
  <si>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</si>
  <si>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</si>
  <si>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</si>
  <si>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</si>
  <si>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</si>
  <si>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</si>
  <si>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</si>
  <si>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</si>
  <si>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</si>
  <si>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</si>
  <si>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</si>
  <si>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</si>
  <si>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</si>
  <si>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</si>
  <si>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</si>
  <si>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</si>
  <si>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</si>
  <si>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</si>
  <si>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</si>
  <si>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</si>
  <si>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</si>
  <si>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</si>
  <si>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</si>
  <si>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</si>
  <si>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</si>
  <si>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</si>
  <si>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</si>
  <si>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</si>
  <si>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</si>
  <si>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</si>
  <si>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</si>
  <si>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</si>
  <si>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</si>
  <si>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</si>
  <si>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</si>
  <si>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</si>
  <si>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</si>
  <si>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</si>
  <si>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</si>
  <si>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</si>
  <si>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</si>
  <si>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</si>
  <si>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</si>
  <si>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</si>
  <si>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</si>
  <si>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</si>
  <si>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</si>
  <si>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</si>
  <si>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</si>
  <si>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</si>
  <si>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</si>
  <si>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</si>
  <si>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</si>
  <si>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</si>
  <si>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</si>
  <si>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</si>
  <si>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</si>
  <si>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</si>
  <si>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</si>
  <si>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</si>
  <si>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</si>
  <si>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</si>
  <si>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</si>
  <si>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</si>
  <si>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</si>
  <si>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</si>
  <si>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</si>
  <si>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</si>
  <si>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</si>
  <si>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</si>
  <si>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</si>
  <si>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</si>
  <si>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</si>
  <si>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</si>
  <si>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</si>
  <si>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</si>
  <si>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</si>
  <si>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</si>
  <si>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</si>
  <si>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</si>
  <si>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</si>
  <si>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</si>
  <si>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</si>
  <si>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</si>
  <si>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</si>
  <si>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</si>
  <si>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</si>
  <si>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</si>
  <si>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</si>
  <si>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</si>
  <si>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</si>
  <si>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</si>
  <si>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</si>
  <si>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</si>
  <si>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</si>
  <si>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</si>
  <si>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</si>
  <si>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</si>
  <si>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</si>
  <si>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</si>
  <si>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</si>
  <si>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</si>
  <si>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</si>
  <si>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</si>
  <si>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</si>
  <si>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</si>
  <si>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</si>
  <si>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</si>
  <si>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</si>
  <si>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</si>
  <si>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</si>
  <si>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</si>
  <si>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</si>
  <si>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</si>
  <si>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</si>
  <si>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</si>
  <si>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</si>
  <si>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</si>
  <si>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</si>
  <si>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</si>
  <si>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</si>
  <si>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</si>
  <si>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</si>
  <si>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</si>
  <si>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</si>
  <si>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</si>
  <si>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</si>
  <si>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</si>
  <si>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</si>
  <si>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</si>
  <si>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</si>
  <si>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</si>
  <si>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</si>
  <si>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</si>
  <si>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</si>
  <si>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</si>
  <si>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</si>
  <si>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</si>
  <si>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</si>
  <si>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</si>
  <si>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</si>
  <si>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</si>
  <si>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</si>
  <si>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</si>
  <si>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</si>
  <si>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</si>
  <si>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</si>
  <si>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</si>
  <si>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</si>
  <si>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</si>
  <si>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</si>
  <si>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</si>
  <si>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</si>
  <si>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</si>
  <si>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</si>
  <si>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</si>
  <si>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</si>
  <si>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</si>
  <si>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</si>
  <si>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</si>
  <si>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</si>
  <si>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</si>
  <si>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</si>
  <si>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</si>
  <si>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</si>
  <si>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</si>
  <si>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</si>
  <si>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</si>
  <si>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</si>
  <si>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</si>
  <si>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</si>
  <si>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</si>
  <si>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</si>
  <si>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</si>
  <si>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</si>
  <si>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</si>
  <si>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</si>
  <si>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</si>
  <si>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</si>
  <si>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</si>
  <si>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</si>
  <si>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</si>
  <si>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</si>
  <si>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</si>
  <si>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</si>
  <si>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</si>
  <si>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</si>
  <si>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</si>
  <si>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</si>
  <si>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</si>
  <si>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</si>
  <si>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</si>
  <si>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</si>
  <si>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</si>
  <si>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</si>
  <si>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</si>
  <si>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</si>
  <si>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</si>
  <si>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</si>
  <si>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</si>
  <si>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</si>
  <si>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</si>
  <si>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</si>
  <si>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</si>
  <si>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</si>
  <si>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</si>
  <si>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</si>
  <si>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</si>
  <si>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</si>
  <si>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</si>
  <si>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</si>
  <si>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</si>
  <si>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</si>
  <si>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</si>
  <si>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</si>
  <si>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</si>
  <si>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</si>
  <si>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</si>
  <si>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</si>
  <si>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</si>
  <si>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</si>
  <si>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</si>
  <si>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</si>
  <si>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</si>
  <si>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</si>
  <si>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</si>
  <si>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</si>
  <si>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</si>
  <si>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</si>
  <si>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</si>
  <si>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</si>
  <si>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</si>
  <si>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</si>
  <si>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</si>
  <si>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</si>
  <si>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</si>
  <si>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</si>
  <si>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</si>
  <si>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</si>
  <si>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</si>
  <si>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</si>
  <si>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</si>
  <si>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</si>
  <si>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</si>
  <si>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</si>
  <si>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</si>
  <si>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</si>
  <si>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</si>
  <si>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</si>
  <si>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</si>
  <si>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</si>
  <si>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</si>
  <si>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</si>
  <si>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</si>
  <si>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</si>
  <si>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</si>
  <si>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</si>
  <si>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</si>
  <si>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</si>
  <si>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</si>
  <si>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</si>
  <si>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</si>
  <si>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</si>
  <si>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</si>
  <si>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</si>
  <si>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</si>
  <si>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</si>
  <si>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</si>
  <si>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</si>
  <si>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</si>
  <si>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</si>
  <si>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</si>
  <si>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</si>
  <si>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</si>
  <si>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</si>
  <si>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</si>
  <si>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</si>
  <si>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</si>
  <si>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</si>
  <si>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</si>
  <si>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</si>
  <si>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</si>
  <si>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</si>
  <si>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</si>
  <si>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</si>
  <si>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</si>
  <si>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</si>
  <si>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</si>
  <si>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</si>
  <si>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</si>
  <si>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</si>
  <si>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</si>
  <si>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</si>
  <si>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</si>
  <si>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</si>
  <si>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</si>
  <si>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</si>
  <si>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</si>
  <si>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</si>
  <si>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</si>
  <si>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</si>
  <si>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</si>
  <si>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</si>
  <si>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</si>
  <si>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</si>
  <si>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</si>
  <si>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</si>
  <si>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</si>
  <si>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</si>
  <si>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</si>
  <si>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</si>
  <si>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</si>
  <si>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</si>
  <si>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</si>
  <si>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</si>
  <si>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</si>
  <si>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</si>
  <si>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</si>
  <si>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</si>
  <si>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</si>
  <si>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</si>
  <si>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</si>
  <si>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</si>
  <si>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</si>
  <si>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</si>
  <si>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</si>
  <si>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</si>
  <si>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</si>
  <si>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</si>
  <si>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</si>
  <si>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</si>
  <si>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</si>
  <si>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</si>
  <si>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</si>
  <si>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</si>
  <si>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</si>
  <si>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</si>
  <si>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</si>
  <si>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</si>
  <si>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</si>
  <si>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</si>
  <si>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</si>
  <si>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</si>
  <si>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</si>
  <si>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</si>
  <si>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</si>
  <si>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</si>
  <si>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</si>
  <si>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</si>
  <si>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</si>
  <si>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</si>
  <si>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</si>
  <si>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</si>
  <si>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</si>
  <si>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</si>
  <si>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</si>
  <si>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</si>
  <si>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</si>
  <si>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</si>
  <si>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</si>
  <si>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</si>
  <si>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</si>
  <si>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</si>
  <si>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</si>
  <si>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</si>
  <si>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</si>
  <si>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</si>
  <si>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</si>
  <si>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</si>
  <si>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</si>
  <si>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</si>
  <si>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</si>
  <si>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</si>
  <si>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</si>
  <si>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</si>
  <si>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</si>
  <si>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</si>
  <si>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</si>
  <si>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</si>
  <si>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</si>
  <si>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</si>
  <si>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</si>
  <si>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</si>
  <si>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</si>
  <si>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</si>
  <si>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</si>
  <si>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</si>
  <si>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</si>
  <si>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</si>
  <si>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</si>
  <si>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</si>
  <si>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</si>
  <si>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</si>
  <si>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</si>
  <si>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</si>
  <si>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</si>
  <si>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</si>
  <si>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</si>
  <si>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</si>
  <si>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</si>
  <si>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</si>
  <si>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</si>
  <si>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</si>
  <si>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</si>
  <si>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</si>
  <si>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</si>
  <si>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</si>
  <si>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</si>
  <si>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</si>
  <si>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</si>
  <si>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</si>
  <si>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</si>
  <si>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</si>
  <si>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</si>
  <si>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</si>
  <si>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</si>
  <si>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</si>
  <si>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</si>
  <si>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</si>
  <si>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</si>
  <si>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</si>
  <si>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</si>
  <si>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</si>
  <si>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</si>
  <si>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Σαφούρη Χρ., Νάσσου</t>
  </si>
  <si>
    <t>Σαφούρη Χρ., Πανταζής</t>
  </si>
  <si>
    <t>Ιωάννου, Πανταζής</t>
  </si>
  <si>
    <t>Πανταζής, Νάσσου</t>
  </si>
  <si>
    <t>Πανταζής, Σαφούρη Χρ.</t>
  </si>
  <si>
    <t>Πανταζής, Σαφούρη Χρ., Νάσσου</t>
  </si>
  <si>
    <t>Ιωάννου, Πανταζής, Νάσσου</t>
  </si>
  <si>
    <t>Ιωάννου, Ευστρατίου</t>
  </si>
  <si>
    <t>Πανταζής, Σαφούρη Χρ., Νάσσου, Παναγόπουλος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</si>
</sst>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family val="2"/>
      <charset val="16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2"/>
  <sheetViews>
    <sheetView topLeftCell="A22" workbookViewId="0">
      <selection activeCell="A43" sqref="A43"/>
    </sheetView>
  </sheetViews>
  <sheetFormatPr defaultRowHeight="14.4" x14ac:dyDescent="0.3"/>
  <cols>
    <col min="1" max="1" width="24.5546875" customWidth="1"/>
  </cols>
  <sheetData>
    <row r="1" spans="1:1" x14ac:dyDescent="0.3">
      <c r="A1" s="6" t="s">
        <v>169</v>
      </c>
    </row>
    <row r="2" spans="1:1" x14ac:dyDescent="0.3">
      <c r="A2" t="s">
        <v>144</v>
      </c>
    </row>
    <row r="3" spans="1:1" x14ac:dyDescent="0.3">
      <c r="A3" t="s">
        <v>244</v>
      </c>
    </row>
    <row r="4" spans="1:1" x14ac:dyDescent="0.3">
      <c r="A4" t="s">
        <v>22</v>
      </c>
    </row>
    <row r="5" spans="1:1" x14ac:dyDescent="0.3">
      <c r="A5" t="s">
        <v>19</v>
      </c>
    </row>
    <row r="6" spans="1:1" x14ac:dyDescent="0.3">
      <c r="A6" t="s">
        <v>61</v>
      </c>
    </row>
    <row r="7" spans="1:1" x14ac:dyDescent="0.3">
      <c r="A7" s="6" t="s">
        <v>127</v>
      </c>
    </row>
    <row r="8" spans="1:1" x14ac:dyDescent="0.3">
      <c r="A8" t="s">
        <v>82</v>
      </c>
    </row>
    <row r="9" spans="1:1" x14ac:dyDescent="0.3">
      <c r="A9" t="s">
        <v>241</v>
      </c>
    </row>
    <row r="10" spans="1:1" x14ac:dyDescent="0.3">
      <c r="A10" t="s">
        <v>49</v>
      </c>
    </row>
    <row r="11" spans="1:1" x14ac:dyDescent="0.3">
      <c r="A11" t="s">
        <v>92</v>
      </c>
    </row>
    <row r="12" spans="1:1" x14ac:dyDescent="0.3">
      <c r="A12" t="s">
        <v>16</v>
      </c>
    </row>
    <row r="13" spans="1:1" x14ac:dyDescent="0.3">
      <c r="A13" t="s">
        <v>138</v>
      </c>
    </row>
    <row r="14" spans="1:1" x14ac:dyDescent="0.3">
      <c r="A14" t="s">
        <v>72</v>
      </c>
    </row>
    <row r="15" spans="1:1" x14ac:dyDescent="0.3">
      <c r="A15" t="s">
        <v>242</v>
      </c>
    </row>
    <row r="16" spans="1:1" x14ac:dyDescent="0.3">
      <c r="A16" s="7" t="s">
        <v>66</v>
      </c>
    </row>
    <row r="17" spans="1:1" x14ac:dyDescent="0.3">
      <c r="A17" t="s">
        <v>69</v>
      </c>
    </row>
    <row r="18" spans="1:1" x14ac:dyDescent="0.3">
      <c r="A18" s="6" t="s">
        <v>46</v>
      </c>
    </row>
    <row r="19" spans="1:1" x14ac:dyDescent="0.3">
      <c r="A19" t="s">
        <v>100</v>
      </c>
    </row>
    <row r="20" spans="1:1" x14ac:dyDescent="0.3">
      <c r="A20" t="s">
        <v>243</v>
      </c>
    </row>
    <row r="21" spans="1:1" x14ac:dyDescent="0.3">
      <c r="A21" t="s">
        <v>80</v>
      </c>
    </row>
    <row r="22" spans="1:1" x14ac:dyDescent="0.3">
      <c r="A22" t="s">
        <v>30</v>
      </c>
    </row>
    <row r="23" spans="1:1" x14ac:dyDescent="0.3">
      <c r="A23" s="6" t="s">
        <v>41</v>
      </c>
    </row>
    <row r="24" spans="1:1" x14ac:dyDescent="0.3">
      <c r="A24" t="s">
        <v>77</v>
      </c>
    </row>
    <row r="25" spans="1:1" x14ac:dyDescent="0.3">
      <c r="A25" t="s">
        <v>11</v>
      </c>
    </row>
    <row r="26" spans="1:1" x14ac:dyDescent="0.3">
      <c r="A26" t="s">
        <v>33</v>
      </c>
    </row>
    <row r="27" spans="1:1" x14ac:dyDescent="0.3">
      <c r="A27" s="6" t="s">
        <v>103</v>
      </c>
    </row>
    <row r="28" spans="1:1" x14ac:dyDescent="0.3">
      <c r="A28" s="6" t="s">
        <v>158</v>
      </c>
    </row>
    <row r="29" spans="1:1" x14ac:dyDescent="0.3">
      <c r="A29" s="6" t="s">
        <v>52</v>
      </c>
    </row>
    <row r="30" spans="1:1" x14ac:dyDescent="0.3">
      <c r="A30" t="s">
        <v>176</v>
      </c>
    </row>
    <row r="31" spans="1:1" x14ac:dyDescent="0.3">
      <c r="A31" t="s">
        <v>25</v>
      </c>
    </row>
    <row r="32" spans="1:1" x14ac:dyDescent="0.3">
      <c r="A32" t="s">
        <v>117</v>
      </c>
    </row>
    <row r="33" spans="1:1" x14ac:dyDescent="0.3">
      <c r="A33" t="s">
        <v>345</v>
      </c>
    </row>
    <row r="34" spans="1:1" x14ac:dyDescent="0.3">
      <c r="A34" t="s">
        <v>346</v>
      </c>
    </row>
    <row r="35" spans="1:1" x14ac:dyDescent="0.3">
      <c r="A35" t="s">
        <v>503</v>
      </c>
    </row>
    <row r="36" spans="1:1" x14ac:dyDescent="0.3">
      <c r="A36" t="s">
        <v>506</v>
      </c>
    </row>
    <row r="37" spans="1:1" x14ac:dyDescent="0.3">
      <c r="A37" t="s">
        <v>505</v>
      </c>
    </row>
    <row r="38" spans="1:1" x14ac:dyDescent="0.3">
      <c r="A38" t="s">
        <v>504</v>
      </c>
    </row>
    <row r="39" spans="1:1" x14ac:dyDescent="0.3">
      <c r="A39" t="s">
        <v>507</v>
      </c>
    </row>
    <row r="40" spans="1:1" x14ac:dyDescent="0.3">
      <c r="A40" t="s">
        <v>508</v>
      </c>
    </row>
    <row r="41" spans="1:1" x14ac:dyDescent="0.3">
      <c r="A41" t="s">
        <v>509</v>
      </c>
    </row>
    <row r="42" spans="1:1" x14ac:dyDescent="0.3">
      <c r="A42" t="s">
        <v>510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tabSelected="1" zoomScale="70" zoomScaleNormal="70" workbookViewId="0">
      <pane ySplit="1" topLeftCell="A68" activePane="bottomLeft" state="frozen"/>
      <selection pane="bottomLeft" activeCell="F79" sqref="F79"/>
    </sheetView>
  </sheetViews>
  <sheetFormatPr defaultRowHeight="14.4" x14ac:dyDescent="0.3"/>
  <cols>
    <col min="1" max="1" width="18.88671875" customWidth="1"/>
    <col min="2" max="2" width="66.88671875" customWidth="1"/>
    <col min="3" max="3" width="11.44140625" customWidth="1"/>
    <col min="4" max="4" width="14.6640625" customWidth="1"/>
    <col min="5" max="6" width="13" customWidth="1"/>
    <col min="7" max="7" width="10.33203125" customWidth="1"/>
    <col min="8" max="8" width="34.109375" customWidth="1"/>
    <col min="9" max="9" width="15.5546875" customWidth="1"/>
    <col min="10" max="19" width="13.6640625" style="22" customWidth="1"/>
    <col min="25" max="25" width="71.109375" bestFit="1" customWidth="1"/>
    <col min="26" max="26" width="9.109375" style="20"/>
  </cols>
  <sheetData>
    <row r="1" spans="1:2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343</v>
      </c>
      <c r="K1" s="24">
        <f>SUM(K2:K102)</f>
        <v>57</v>
      </c>
      <c r="M1" s="22" t="s">
        <v>347</v>
      </c>
      <c r="N1" s="22" t="s">
        <v>502</v>
      </c>
      <c r="X1" s="18" t="s">
        <v>333</v>
      </c>
      <c r="Y1" s="18" t="s">
        <v>334</v>
      </c>
      <c r="Z1" s="19" t="s">
        <v>335</v>
      </c>
    </row>
    <row r="2" spans="1:26" x14ac:dyDescent="0.3">
      <c r="A2" t="s">
        <v>9</v>
      </c>
      <c r="B2" t="s">
        <v>10</v>
      </c>
      <c r="C2">
        <v>1</v>
      </c>
      <c r="D2" t="s">
        <v>19</v>
      </c>
      <c r="E2" s="1">
        <v>46195</v>
      </c>
      <c r="F2" s="2">
        <v>0.5</v>
      </c>
      <c r="H2" t="s">
        <v>512</v>
      </c>
      <c r="J2" s="22">
        <f t="shared" ref="J2:J65" si="0">SUM(M2:N2)</f>
        <v>66</v>
      </c>
      <c r="K2">
        <v>3</v>
      </c>
      <c r="M2" s="22">
        <f>VLOOKUP(Table1[[#This Row],[course_id]],X:Z,3,FALSE)</f>
        <v>66</v>
      </c>
      <c r="P2" s="25"/>
      <c r="Q2" s="25"/>
      <c r="S2" s="25"/>
      <c r="T2" s="25"/>
      <c r="X2" s="18" t="s">
        <v>194</v>
      </c>
      <c r="Y2" s="18" t="s">
        <v>195</v>
      </c>
      <c r="Z2" s="19">
        <v>5</v>
      </c>
    </row>
    <row r="3" spans="1:26" x14ac:dyDescent="0.3">
      <c r="A3" t="s">
        <v>12</v>
      </c>
      <c r="B3" t="s">
        <v>13</v>
      </c>
      <c r="C3">
        <v>1</v>
      </c>
      <c r="D3" t="s">
        <v>11</v>
      </c>
      <c r="E3" s="1">
        <v>46185</v>
      </c>
      <c r="F3" s="2">
        <v>0.375</v>
      </c>
      <c r="H3" t="s">
        <v>520</v>
      </c>
      <c r="J3" s="22">
        <f t="shared" si="0"/>
        <v>143</v>
      </c>
      <c r="K3">
        <v>4</v>
      </c>
      <c r="M3" s="22">
        <f>VLOOKUP(Table1[[#This Row],[course_id]],X:Z,3,FALSE)</f>
        <v>104</v>
      </c>
      <c r="N3" s="22">
        <f>VLOOKUP(Table1[[#This Row],[course_name]],ΤΕΙ!I:J,2,FALSE)</f>
        <v>39</v>
      </c>
      <c r="P3" s="25"/>
      <c r="S3" s="25"/>
      <c r="T3" s="25"/>
      <c r="X3" s="18" t="s">
        <v>12</v>
      </c>
      <c r="Y3" s="18" t="s">
        <v>13</v>
      </c>
      <c r="Z3" s="21">
        <v>104</v>
      </c>
    </row>
    <row r="4" spans="1:26" x14ac:dyDescent="0.3">
      <c r="A4" t="s">
        <v>14</v>
      </c>
      <c r="B4" t="s">
        <v>15</v>
      </c>
      <c r="C4">
        <v>1</v>
      </c>
      <c r="D4" t="s">
        <v>16</v>
      </c>
      <c r="E4" s="1">
        <v>46198</v>
      </c>
      <c r="F4" s="2">
        <v>0.5</v>
      </c>
      <c r="J4" s="22">
        <f t="shared" si="0"/>
        <v>60</v>
      </c>
      <c r="K4">
        <v>2</v>
      </c>
      <c r="M4" s="22">
        <f>VLOOKUP(Table1[[#This Row],[course_id]],X:Z,3,FALSE)</f>
        <v>49</v>
      </c>
      <c r="N4" s="22">
        <f>VLOOKUP(Table1[[#This Row],[course_name]],ΤΕΙ!I:J,2,FALSE)</f>
        <v>11</v>
      </c>
      <c r="S4" s="25"/>
      <c r="T4" s="25"/>
      <c r="X4" s="18" t="s">
        <v>26</v>
      </c>
      <c r="Y4" s="18" t="s">
        <v>27</v>
      </c>
      <c r="Z4" s="21">
        <v>41</v>
      </c>
    </row>
    <row r="5" spans="1:26" x14ac:dyDescent="0.3">
      <c r="A5" t="s">
        <v>17</v>
      </c>
      <c r="B5" t="s">
        <v>18</v>
      </c>
      <c r="C5">
        <v>1</v>
      </c>
      <c r="D5" t="s">
        <v>19</v>
      </c>
      <c r="E5" s="1">
        <v>46204</v>
      </c>
      <c r="F5" s="2">
        <v>0.5</v>
      </c>
      <c r="H5" t="s">
        <v>513</v>
      </c>
      <c r="J5" s="22">
        <f t="shared" si="0"/>
        <v>62</v>
      </c>
      <c r="K5">
        <v>2</v>
      </c>
      <c r="M5" s="22">
        <f>VLOOKUP(Table1[[#This Row],[course_id]],X:Z,3,FALSE)</f>
        <v>51</v>
      </c>
      <c r="N5" s="22">
        <f>VLOOKUP(Table1[[#This Row],[course_name]],ΤΕΙ!I:J,2,FALSE)</f>
        <v>11</v>
      </c>
      <c r="S5" s="25"/>
      <c r="T5" s="25"/>
      <c r="X5" s="18" t="s">
        <v>118</v>
      </c>
      <c r="Y5" s="18" t="s">
        <v>119</v>
      </c>
      <c r="Z5" s="19">
        <v>9</v>
      </c>
    </row>
    <row r="6" spans="1:26" x14ac:dyDescent="0.3">
      <c r="A6" t="s">
        <v>20</v>
      </c>
      <c r="B6" t="s">
        <v>21</v>
      </c>
      <c r="C6">
        <v>1</v>
      </c>
      <c r="D6" t="s">
        <v>22</v>
      </c>
      <c r="E6" s="1">
        <v>46182</v>
      </c>
      <c r="F6" s="2">
        <v>0.375</v>
      </c>
      <c r="H6" t="s">
        <v>514</v>
      </c>
      <c r="J6" s="22">
        <f t="shared" si="0"/>
        <v>41</v>
      </c>
      <c r="K6">
        <v>2</v>
      </c>
      <c r="M6" s="22">
        <f>VLOOKUP(Table1[[#This Row],[course_id]],X:Z,3,FALSE)</f>
        <v>39</v>
      </c>
      <c r="N6" s="22">
        <f>VLOOKUP(Table1[[#This Row],[course_name]],ΤΕΙ!I:J,2,FALSE)</f>
        <v>2</v>
      </c>
      <c r="S6" s="25"/>
      <c r="T6" s="25"/>
      <c r="X6" s="18" t="s">
        <v>186</v>
      </c>
      <c r="Y6" s="18" t="s">
        <v>336</v>
      </c>
      <c r="Z6" s="19">
        <v>12</v>
      </c>
    </row>
    <row r="7" spans="1:26" x14ac:dyDescent="0.3">
      <c r="A7" t="s">
        <v>23</v>
      </c>
      <c r="B7" t="s">
        <v>24</v>
      </c>
      <c r="C7">
        <v>1</v>
      </c>
      <c r="D7" t="s">
        <v>25</v>
      </c>
      <c r="E7" s="1">
        <v>46190</v>
      </c>
      <c r="F7" s="2">
        <v>0.5</v>
      </c>
      <c r="H7" t="s">
        <v>513</v>
      </c>
      <c r="J7" s="22">
        <f t="shared" si="0"/>
        <v>61</v>
      </c>
      <c r="K7">
        <v>2</v>
      </c>
      <c r="M7" s="22">
        <f>VLOOKUP(Table1[[#This Row],[course_id]],X:Z,3,FALSE)</f>
        <v>53</v>
      </c>
      <c r="N7" s="22">
        <f>VLOOKUP(Table1[[#This Row],[course_name]],ΤΕΙ!I:J,2,FALSE)</f>
        <v>8</v>
      </c>
      <c r="S7" s="25"/>
      <c r="T7" s="25"/>
      <c r="X7" s="18" t="s">
        <v>124</v>
      </c>
      <c r="Y7" s="18" t="s">
        <v>337</v>
      </c>
      <c r="Z7" s="19">
        <v>32</v>
      </c>
    </row>
    <row r="8" spans="1:26" x14ac:dyDescent="0.3">
      <c r="A8" t="s">
        <v>26</v>
      </c>
      <c r="B8" t="s">
        <v>27</v>
      </c>
      <c r="C8">
        <v>1</v>
      </c>
      <c r="D8" t="s">
        <v>241</v>
      </c>
      <c r="E8" s="1"/>
      <c r="F8" s="2"/>
      <c r="J8" s="22">
        <f t="shared" si="0"/>
        <v>45</v>
      </c>
      <c r="K8">
        <v>0</v>
      </c>
      <c r="M8" s="22">
        <f>VLOOKUP(Table1[[#This Row],[course_id]],X:Z,3,FALSE)</f>
        <v>41</v>
      </c>
      <c r="N8" s="22">
        <f>VLOOKUP(Table1[[#This Row],[course_name]],ΤΕΙ!I:J,2,FALSE)</f>
        <v>4</v>
      </c>
      <c r="S8" s="25"/>
      <c r="T8" s="25"/>
      <c r="X8" s="18" t="s">
        <v>14</v>
      </c>
      <c r="Y8" s="18" t="s">
        <v>15</v>
      </c>
      <c r="Z8" s="21">
        <v>49</v>
      </c>
    </row>
    <row r="9" spans="1:26" x14ac:dyDescent="0.3">
      <c r="A9" t="s">
        <v>28</v>
      </c>
      <c r="B9" t="s">
        <v>29</v>
      </c>
      <c r="C9">
        <v>2</v>
      </c>
      <c r="D9" t="s">
        <v>49</v>
      </c>
      <c r="E9" s="1">
        <v>46181</v>
      </c>
      <c r="F9" s="2">
        <v>0.5</v>
      </c>
      <c r="J9" s="22">
        <f t="shared" si="0"/>
        <v>15</v>
      </c>
      <c r="K9">
        <v>0</v>
      </c>
      <c r="N9" s="22">
        <f>VLOOKUP(Table1[[#This Row],[course_name]],ΤΕΙ!I:J,2,FALSE)</f>
        <v>15</v>
      </c>
      <c r="S9" s="25"/>
      <c r="T9" s="25"/>
      <c r="X9" s="18" t="s">
        <v>44</v>
      </c>
      <c r="Y9" s="18" t="s">
        <v>45</v>
      </c>
      <c r="Z9" s="19">
        <v>22</v>
      </c>
    </row>
    <row r="10" spans="1:26" x14ac:dyDescent="0.3">
      <c r="A10" t="s">
        <v>31</v>
      </c>
      <c r="B10" t="s">
        <v>32</v>
      </c>
      <c r="C10">
        <v>2</v>
      </c>
      <c r="D10" t="s">
        <v>19</v>
      </c>
      <c r="E10" s="1">
        <v>46198</v>
      </c>
      <c r="F10" s="2">
        <v>0.625</v>
      </c>
      <c r="J10" s="22">
        <f t="shared" si="0"/>
        <v>16</v>
      </c>
      <c r="K10">
        <v>0</v>
      </c>
      <c r="M10" s="22">
        <f>VLOOKUP(Table1[[#This Row],[course_id]],X:Z,3,FALSE)</f>
        <v>16</v>
      </c>
      <c r="S10" s="25"/>
      <c r="T10" s="25"/>
      <c r="X10" s="18" t="s">
        <v>196</v>
      </c>
      <c r="Y10" s="18" t="s">
        <v>338</v>
      </c>
      <c r="Z10" s="19">
        <v>7</v>
      </c>
    </row>
    <row r="11" spans="1:26" x14ac:dyDescent="0.3">
      <c r="A11" t="s">
        <v>34</v>
      </c>
      <c r="B11" t="s">
        <v>35</v>
      </c>
      <c r="C11">
        <v>2</v>
      </c>
      <c r="D11" t="s">
        <v>11</v>
      </c>
      <c r="E11" s="1">
        <v>46184</v>
      </c>
      <c r="F11" s="2">
        <v>0.625</v>
      </c>
      <c r="H11" t="s">
        <v>515</v>
      </c>
      <c r="J11" s="22">
        <f t="shared" si="0"/>
        <v>50</v>
      </c>
      <c r="K11">
        <v>2</v>
      </c>
      <c r="M11" s="22">
        <f>VLOOKUP(Table1[[#This Row],[course_id]],X:Z,3,FALSE)</f>
        <v>11</v>
      </c>
      <c r="N11" s="22">
        <f>VLOOKUP(Table1[[#This Row],[course_name]],ΤΕΙ!I:J,2,FALSE)</f>
        <v>39</v>
      </c>
      <c r="S11" s="25"/>
      <c r="T11" s="25"/>
      <c r="X11" s="18" t="s">
        <v>9</v>
      </c>
      <c r="Y11" s="18" t="s">
        <v>10</v>
      </c>
      <c r="Z11" s="21">
        <v>66</v>
      </c>
    </row>
    <row r="12" spans="1:26" x14ac:dyDescent="0.3">
      <c r="A12" t="s">
        <v>36</v>
      </c>
      <c r="B12" t="s">
        <v>37</v>
      </c>
      <c r="C12">
        <v>2</v>
      </c>
      <c r="D12" t="s">
        <v>16</v>
      </c>
      <c r="E12" s="1">
        <v>46196</v>
      </c>
      <c r="F12" s="2">
        <v>0.75</v>
      </c>
      <c r="J12" s="22">
        <f t="shared" si="0"/>
        <v>1</v>
      </c>
      <c r="K12">
        <v>0</v>
      </c>
      <c r="M12" s="22">
        <f>VLOOKUP(Table1[[#This Row],[course_id]],X:Z,3,FALSE)</f>
        <v>1</v>
      </c>
      <c r="S12" s="25"/>
      <c r="T12" s="25"/>
      <c r="X12" s="18" t="s">
        <v>55</v>
      </c>
      <c r="Y12" s="18" t="s">
        <v>56</v>
      </c>
      <c r="Z12" s="19">
        <v>67</v>
      </c>
    </row>
    <row r="13" spans="1:26" x14ac:dyDescent="0.3">
      <c r="A13" t="s">
        <v>38</v>
      </c>
      <c r="B13" t="s">
        <v>39</v>
      </c>
      <c r="C13">
        <v>2</v>
      </c>
      <c r="D13" t="s">
        <v>22</v>
      </c>
      <c r="E13" s="1">
        <v>46189</v>
      </c>
      <c r="F13" s="3">
        <v>0.5</v>
      </c>
      <c r="J13" s="22">
        <f t="shared" si="0"/>
        <v>5</v>
      </c>
      <c r="K13">
        <v>0</v>
      </c>
      <c r="N13" s="22">
        <f>VLOOKUP(Table1[[#This Row],[course_name]],ΤΕΙ!I:J,2,FALSE)</f>
        <v>5</v>
      </c>
      <c r="S13" s="25"/>
      <c r="T13" s="25"/>
      <c r="X13" s="18" t="s">
        <v>339</v>
      </c>
      <c r="Y13" s="18" t="s">
        <v>340</v>
      </c>
      <c r="Z13" s="19">
        <v>8</v>
      </c>
    </row>
    <row r="14" spans="1:26" x14ac:dyDescent="0.3">
      <c r="A14" t="s">
        <v>40</v>
      </c>
      <c r="B14" t="s">
        <v>217</v>
      </c>
      <c r="C14">
        <v>2</v>
      </c>
      <c r="D14" t="s">
        <v>507</v>
      </c>
      <c r="E14" s="1">
        <v>46183</v>
      </c>
      <c r="F14" s="2">
        <v>0.375</v>
      </c>
      <c r="H14" t="s">
        <v>509</v>
      </c>
      <c r="J14" s="22">
        <f t="shared" si="0"/>
        <v>13</v>
      </c>
      <c r="K14">
        <v>1</v>
      </c>
      <c r="M14" s="22">
        <f>VLOOKUP(Table1[[#This Row],[course_id]],X:Z,3,FALSE)</f>
        <v>1</v>
      </c>
      <c r="N14" s="22">
        <f>VLOOKUP(Table1[[#This Row],[course_name]],ΤΕΙ!I:J,2,FALSE)</f>
        <v>12</v>
      </c>
      <c r="S14" s="25"/>
      <c r="T14" s="25"/>
      <c r="X14" s="18" t="s">
        <v>110</v>
      </c>
      <c r="Y14" s="18" t="s">
        <v>111</v>
      </c>
      <c r="Z14" s="19">
        <v>7</v>
      </c>
    </row>
    <row r="15" spans="1:26" x14ac:dyDescent="0.3">
      <c r="A15" t="s">
        <v>42</v>
      </c>
      <c r="B15" t="s">
        <v>43</v>
      </c>
      <c r="C15">
        <v>2</v>
      </c>
      <c r="D15" t="s">
        <v>25</v>
      </c>
      <c r="E15" s="1">
        <v>46190</v>
      </c>
      <c r="F15" s="2">
        <v>0.625</v>
      </c>
      <c r="J15" s="22">
        <f t="shared" si="0"/>
        <v>1</v>
      </c>
      <c r="K15">
        <v>0</v>
      </c>
      <c r="M15" s="22">
        <f>VLOOKUP(Table1[[#This Row],[course_id]],X:Z,3,FALSE)</f>
        <v>1</v>
      </c>
      <c r="S15" s="25"/>
      <c r="T15" s="25"/>
      <c r="X15" s="18" t="s">
        <v>88</v>
      </c>
      <c r="Y15" s="18" t="s">
        <v>89</v>
      </c>
      <c r="Z15" s="19">
        <v>40</v>
      </c>
    </row>
    <row r="16" spans="1:26" x14ac:dyDescent="0.3">
      <c r="A16" s="4" t="s">
        <v>44</v>
      </c>
      <c r="B16" t="s">
        <v>45</v>
      </c>
      <c r="C16">
        <v>3</v>
      </c>
      <c r="D16" t="s">
        <v>242</v>
      </c>
      <c r="E16" s="1">
        <v>46199</v>
      </c>
      <c r="F16" s="2">
        <v>0.375</v>
      </c>
      <c r="H16" t="s">
        <v>509</v>
      </c>
      <c r="J16" s="22">
        <f t="shared" si="0"/>
        <v>32</v>
      </c>
      <c r="K16">
        <v>1</v>
      </c>
      <c r="M16" s="22">
        <f>VLOOKUP(Table1[[#This Row],[course_id]],X:Z,3,FALSE)</f>
        <v>22</v>
      </c>
      <c r="N16" s="22">
        <f>VLOOKUP(Table1[[#This Row],[course_name]],ΤΕΙ!I:J,2,FALSE)</f>
        <v>10</v>
      </c>
      <c r="S16" s="25"/>
      <c r="T16" s="25"/>
      <c r="X16" s="18" t="s">
        <v>120</v>
      </c>
      <c r="Y16" s="18" t="s">
        <v>121</v>
      </c>
      <c r="Z16" s="19">
        <v>19</v>
      </c>
    </row>
    <row r="17" spans="1:26" x14ac:dyDescent="0.3">
      <c r="A17" s="4" t="s">
        <v>47</v>
      </c>
      <c r="B17" t="s">
        <v>48</v>
      </c>
      <c r="C17">
        <v>3</v>
      </c>
      <c r="D17" t="s">
        <v>49</v>
      </c>
      <c r="E17" s="1">
        <v>46181</v>
      </c>
      <c r="F17" s="2">
        <v>0.375</v>
      </c>
      <c r="H17" t="s">
        <v>508</v>
      </c>
      <c r="J17" s="22">
        <f t="shared" si="0"/>
        <v>33</v>
      </c>
      <c r="K17">
        <v>1</v>
      </c>
      <c r="M17" s="22">
        <f>VLOOKUP(Table1[[#This Row],[course_id]],X:Z,3,FALSE)</f>
        <v>33</v>
      </c>
      <c r="S17" s="25"/>
      <c r="T17" s="25"/>
      <c r="X17" s="18" t="s">
        <v>187</v>
      </c>
      <c r="Y17" s="18" t="s">
        <v>188</v>
      </c>
      <c r="Z17" s="19">
        <v>3</v>
      </c>
    </row>
    <row r="18" spans="1:26" x14ac:dyDescent="0.3">
      <c r="A18" s="4" t="s">
        <v>50</v>
      </c>
      <c r="B18" t="s">
        <v>51</v>
      </c>
      <c r="C18">
        <v>3</v>
      </c>
      <c r="D18" t="s">
        <v>176</v>
      </c>
      <c r="E18" s="1">
        <v>46191</v>
      </c>
      <c r="F18" s="2">
        <v>0.75</v>
      </c>
      <c r="H18" t="s">
        <v>510</v>
      </c>
      <c r="J18" s="22">
        <f t="shared" si="0"/>
        <v>24</v>
      </c>
      <c r="K18">
        <v>1</v>
      </c>
      <c r="M18" s="22">
        <f>VLOOKUP(Table1[[#This Row],[course_id]],X:Z,3,FALSE)</f>
        <v>24</v>
      </c>
      <c r="N18" s="22">
        <f>VLOOKUP(Table1[[#This Row],[course_name]],ΤΕΙ!I:J,2,FALSE)</f>
        <v>0</v>
      </c>
      <c r="S18" s="25"/>
      <c r="T18" s="25"/>
      <c r="X18" s="18" t="s">
        <v>189</v>
      </c>
      <c r="Y18" s="18" t="s">
        <v>190</v>
      </c>
      <c r="Z18" s="19">
        <v>6</v>
      </c>
    </row>
    <row r="19" spans="1:26" x14ac:dyDescent="0.3">
      <c r="A19" s="4" t="s">
        <v>53</v>
      </c>
      <c r="B19" t="s">
        <v>54</v>
      </c>
      <c r="C19">
        <v>3</v>
      </c>
      <c r="D19" t="s">
        <v>33</v>
      </c>
      <c r="E19" s="1">
        <v>46195</v>
      </c>
      <c r="F19" s="2">
        <v>0.375</v>
      </c>
      <c r="H19" t="s">
        <v>508</v>
      </c>
      <c r="J19" s="22">
        <f t="shared" si="0"/>
        <v>23</v>
      </c>
      <c r="K19">
        <v>1</v>
      </c>
      <c r="M19" s="22">
        <f>VLOOKUP(Table1[[#This Row],[course_id]],X:Z,3,FALSE)</f>
        <v>18</v>
      </c>
      <c r="N19" s="22">
        <f>VLOOKUP(Table1[[#This Row],[course_name]],ΤΕΙ!I:J,2,FALSE)</f>
        <v>5</v>
      </c>
      <c r="S19" s="25"/>
      <c r="T19" s="25"/>
      <c r="X19" s="18" t="s">
        <v>136</v>
      </c>
      <c r="Y19" s="18" t="s">
        <v>137</v>
      </c>
      <c r="Z19" s="19">
        <v>3</v>
      </c>
    </row>
    <row r="20" spans="1:26" x14ac:dyDescent="0.3">
      <c r="A20" s="4" t="s">
        <v>55</v>
      </c>
      <c r="B20" t="s">
        <v>56</v>
      </c>
      <c r="C20">
        <v>3</v>
      </c>
      <c r="D20" t="s">
        <v>11</v>
      </c>
      <c r="E20" s="1">
        <v>46184</v>
      </c>
      <c r="F20" s="2">
        <v>0.5</v>
      </c>
      <c r="H20" t="s">
        <v>517</v>
      </c>
      <c r="J20" s="22">
        <f t="shared" si="0"/>
        <v>67</v>
      </c>
      <c r="K20">
        <v>3</v>
      </c>
      <c r="M20" s="22">
        <f>VLOOKUP(Table1[[#This Row],[course_id]],X:Z,3,FALSE)</f>
        <v>67</v>
      </c>
      <c r="S20" s="25"/>
      <c r="T20" s="25"/>
      <c r="X20" s="18" t="s">
        <v>184</v>
      </c>
      <c r="Y20" s="18" t="s">
        <v>185</v>
      </c>
      <c r="Z20" s="19">
        <v>4</v>
      </c>
    </row>
    <row r="21" spans="1:26" x14ac:dyDescent="0.3">
      <c r="A21" s="4" t="s">
        <v>57</v>
      </c>
      <c r="B21" t="s">
        <v>58</v>
      </c>
      <c r="C21">
        <v>3</v>
      </c>
      <c r="D21" t="s">
        <v>30</v>
      </c>
      <c r="E21" s="1">
        <v>46188</v>
      </c>
      <c r="F21" s="2">
        <v>0.375</v>
      </c>
      <c r="H21" t="s">
        <v>511</v>
      </c>
      <c r="J21" s="22">
        <f t="shared" si="0"/>
        <v>38</v>
      </c>
      <c r="K21">
        <v>2</v>
      </c>
      <c r="M21" s="22">
        <f>VLOOKUP(Table1[[#This Row],[course_id]],X:Z,3,FALSE)</f>
        <v>38</v>
      </c>
      <c r="S21" s="25"/>
      <c r="T21" s="25"/>
      <c r="X21" s="18" t="s">
        <v>109</v>
      </c>
      <c r="Y21" s="18" t="s">
        <v>222</v>
      </c>
      <c r="Z21" s="19">
        <v>4</v>
      </c>
    </row>
    <row r="22" spans="1:26" x14ac:dyDescent="0.3">
      <c r="A22" s="4" t="s">
        <v>59</v>
      </c>
      <c r="B22" t="s">
        <v>60</v>
      </c>
      <c r="C22">
        <v>3</v>
      </c>
      <c r="D22" t="s">
        <v>243</v>
      </c>
      <c r="E22" s="1">
        <v>46202</v>
      </c>
      <c r="F22" s="2">
        <v>0.375</v>
      </c>
      <c r="H22" t="s">
        <v>514</v>
      </c>
      <c r="J22" s="22">
        <f t="shared" si="0"/>
        <v>44</v>
      </c>
      <c r="K22">
        <v>2</v>
      </c>
      <c r="M22" s="22">
        <f>VLOOKUP(Table1[[#This Row],[course_id]],X:Z,3,FALSE)</f>
        <v>44</v>
      </c>
      <c r="S22" s="25"/>
      <c r="T22" s="25"/>
      <c r="X22" s="18" t="s">
        <v>47</v>
      </c>
      <c r="Y22" s="18" t="s">
        <v>48</v>
      </c>
      <c r="Z22" s="19">
        <v>33</v>
      </c>
    </row>
    <row r="23" spans="1:26" x14ac:dyDescent="0.3">
      <c r="A23" s="4" t="s">
        <v>62</v>
      </c>
      <c r="B23" t="s">
        <v>63</v>
      </c>
      <c r="C23">
        <v>4</v>
      </c>
      <c r="D23" t="s">
        <v>49</v>
      </c>
      <c r="E23" s="1">
        <v>46203</v>
      </c>
      <c r="F23" s="2">
        <v>0.375</v>
      </c>
      <c r="J23" s="22">
        <f t="shared" si="0"/>
        <v>13</v>
      </c>
      <c r="K23">
        <v>0</v>
      </c>
      <c r="M23" s="22">
        <f>VLOOKUP(Table1[[#This Row],[course_id]],X:Z,3,FALSE)</f>
        <v>2</v>
      </c>
      <c r="N23" s="22">
        <f>VLOOKUP(Table1[[#This Row],[course_name]],ΤΕΙ!I:J,2,FALSE)</f>
        <v>11</v>
      </c>
      <c r="S23" s="25"/>
      <c r="T23" s="25"/>
      <c r="X23" s="18" t="s">
        <v>59</v>
      </c>
      <c r="Y23" s="18" t="s">
        <v>60</v>
      </c>
      <c r="Z23" s="19">
        <v>44</v>
      </c>
    </row>
    <row r="24" spans="1:26" x14ac:dyDescent="0.3">
      <c r="A24" s="4" t="s">
        <v>64</v>
      </c>
      <c r="B24" t="s">
        <v>65</v>
      </c>
      <c r="C24">
        <v>4</v>
      </c>
      <c r="D24" t="s">
        <v>66</v>
      </c>
      <c r="E24" s="1">
        <v>46183</v>
      </c>
      <c r="F24" s="2">
        <v>0.5</v>
      </c>
      <c r="J24" s="22">
        <f t="shared" si="0"/>
        <v>1</v>
      </c>
      <c r="K24">
        <v>0</v>
      </c>
      <c r="M24" s="22">
        <f>VLOOKUP(Table1[[#This Row],[course_id]],X:Z,3,FALSE)</f>
        <v>1</v>
      </c>
      <c r="S24" s="25"/>
      <c r="T24" s="25"/>
      <c r="X24" s="18" t="s">
        <v>106</v>
      </c>
      <c r="Y24" s="18" t="s">
        <v>314</v>
      </c>
      <c r="Z24" s="19">
        <v>38</v>
      </c>
    </row>
    <row r="25" spans="1:26" x14ac:dyDescent="0.3">
      <c r="A25" s="4" t="s">
        <v>67</v>
      </c>
      <c r="B25" t="s">
        <v>68</v>
      </c>
      <c r="C25">
        <v>4</v>
      </c>
      <c r="D25" t="s">
        <v>69</v>
      </c>
      <c r="E25" s="1">
        <v>46198</v>
      </c>
      <c r="F25" s="2">
        <v>0.375</v>
      </c>
      <c r="H25" t="s">
        <v>509</v>
      </c>
      <c r="J25" s="22">
        <f t="shared" si="0"/>
        <v>33</v>
      </c>
      <c r="K25">
        <v>1</v>
      </c>
      <c r="M25" s="22">
        <f>VLOOKUP(Table1[[#This Row],[course_id]],X:Z,3,FALSE)</f>
        <v>20</v>
      </c>
      <c r="N25" s="22">
        <f>VLOOKUP(Table1[[#This Row],[course_name]],ΤΕΙ!I:J,2,FALSE)</f>
        <v>13</v>
      </c>
      <c r="S25" s="25"/>
      <c r="T25" s="25"/>
      <c r="X25" s="18" t="s">
        <v>83</v>
      </c>
      <c r="Y25" s="18" t="s">
        <v>84</v>
      </c>
      <c r="Z25" s="19">
        <v>44</v>
      </c>
    </row>
    <row r="26" spans="1:26" x14ac:dyDescent="0.3">
      <c r="A26" s="4" t="s">
        <v>70</v>
      </c>
      <c r="B26" t="s">
        <v>71</v>
      </c>
      <c r="C26">
        <v>4</v>
      </c>
      <c r="D26" t="s">
        <v>72</v>
      </c>
      <c r="E26" s="1">
        <v>46181</v>
      </c>
      <c r="F26" s="3">
        <v>0.625</v>
      </c>
      <c r="J26" s="22">
        <f t="shared" si="0"/>
        <v>9</v>
      </c>
      <c r="K26">
        <v>0</v>
      </c>
      <c r="M26" s="22">
        <f>VLOOKUP(Table1[[#This Row],[course_id]],X:Z,3,FALSE)</f>
        <v>1</v>
      </c>
      <c r="N26" s="22">
        <f>VLOOKUP(Table1[[#This Row],[course_name]],ΤΕΙ!I:J,2,FALSE)</f>
        <v>8</v>
      </c>
      <c r="S26" s="25"/>
      <c r="T26" s="25"/>
      <c r="X26" s="18" t="s">
        <v>53</v>
      </c>
      <c r="Y26" s="18" t="s">
        <v>54</v>
      </c>
      <c r="Z26" s="19">
        <v>18</v>
      </c>
    </row>
    <row r="27" spans="1:26" x14ac:dyDescent="0.3">
      <c r="A27" s="4" t="s">
        <v>73</v>
      </c>
      <c r="B27" t="s">
        <v>74</v>
      </c>
      <c r="C27">
        <v>4</v>
      </c>
      <c r="D27" t="s">
        <v>19</v>
      </c>
      <c r="E27" s="1">
        <v>46195</v>
      </c>
      <c r="F27" s="3">
        <v>0.625</v>
      </c>
      <c r="J27" s="22">
        <f t="shared" si="0"/>
        <v>15</v>
      </c>
      <c r="K27">
        <v>0</v>
      </c>
      <c r="N27" s="22">
        <f>VLOOKUP(Table1[[#This Row],[course_name]],ΤΕΙ!I:J,2,FALSE)</f>
        <v>15</v>
      </c>
      <c r="S27" s="25"/>
      <c r="T27" s="25"/>
      <c r="X27" s="18" t="s">
        <v>112</v>
      </c>
      <c r="Y27" s="18" t="s">
        <v>113</v>
      </c>
      <c r="Z27" s="19">
        <v>25</v>
      </c>
    </row>
    <row r="28" spans="1:26" x14ac:dyDescent="0.3">
      <c r="A28" s="4" t="s">
        <v>75</v>
      </c>
      <c r="B28" t="s">
        <v>76</v>
      </c>
      <c r="C28">
        <v>4</v>
      </c>
      <c r="D28" t="s">
        <v>77</v>
      </c>
      <c r="E28" s="1">
        <v>46188</v>
      </c>
      <c r="F28" s="3">
        <v>0.625</v>
      </c>
      <c r="J28" s="22">
        <f t="shared" si="0"/>
        <v>14</v>
      </c>
      <c r="K28">
        <v>0</v>
      </c>
      <c r="M28" s="22">
        <f>VLOOKUP(Table1[[#This Row],[course_id]],X:Z,3,FALSE)</f>
        <v>4</v>
      </c>
      <c r="N28" s="22">
        <f>VLOOKUP(Table1[[#This Row],[course_name]],ΤΕΙ!I:J,2,FALSE)</f>
        <v>10</v>
      </c>
      <c r="S28" s="25"/>
      <c r="T28" s="25"/>
      <c r="X28" s="18" t="s">
        <v>87</v>
      </c>
      <c r="Y28" s="18" t="s">
        <v>219</v>
      </c>
      <c r="Z28" s="19">
        <v>46</v>
      </c>
    </row>
    <row r="29" spans="1:26" x14ac:dyDescent="0.3">
      <c r="A29" s="4" t="s">
        <v>78</v>
      </c>
      <c r="B29" t="s">
        <v>79</v>
      </c>
      <c r="C29">
        <v>5</v>
      </c>
      <c r="D29" t="s">
        <v>80</v>
      </c>
      <c r="E29" s="1">
        <v>46191</v>
      </c>
      <c r="F29" s="2">
        <v>0.375</v>
      </c>
      <c r="H29" t="s">
        <v>514</v>
      </c>
      <c r="J29" s="22">
        <f t="shared" si="0"/>
        <v>60</v>
      </c>
      <c r="K29">
        <v>2</v>
      </c>
      <c r="M29" s="22">
        <f>VLOOKUP(Table1[[#This Row],[course_id]],X:Z,3,FALSE)</f>
        <v>53</v>
      </c>
      <c r="N29" s="22">
        <f>VLOOKUP(Table1[[#This Row],[course_name]],ΤΕΙ!I:J,2,FALSE)</f>
        <v>7</v>
      </c>
      <c r="S29" s="25"/>
      <c r="T29" s="25"/>
      <c r="X29" s="18" t="s">
        <v>182</v>
      </c>
      <c r="Y29" s="18" t="s">
        <v>183</v>
      </c>
      <c r="Z29" s="19">
        <v>33</v>
      </c>
    </row>
    <row r="30" spans="1:26" x14ac:dyDescent="0.3">
      <c r="A30" s="4" t="s">
        <v>81</v>
      </c>
      <c r="B30" t="s">
        <v>218</v>
      </c>
      <c r="C30">
        <v>5</v>
      </c>
      <c r="D30" t="s">
        <v>82</v>
      </c>
      <c r="E30" s="1">
        <v>46185</v>
      </c>
      <c r="F30" s="3">
        <v>0.5</v>
      </c>
      <c r="H30" t="s">
        <v>510</v>
      </c>
      <c r="J30" s="22">
        <f t="shared" si="0"/>
        <v>28</v>
      </c>
      <c r="K30">
        <v>1</v>
      </c>
      <c r="M30" s="22">
        <f>VLOOKUP(Table1[[#This Row],[course_id]],X:Z,3,FALSE)</f>
        <v>21</v>
      </c>
      <c r="N30" s="22">
        <f>VLOOKUP(Table1[[#This Row],[course_name]],ΤΕΙ!I:J,2,FALSE)</f>
        <v>7</v>
      </c>
      <c r="S30" s="25"/>
      <c r="T30" s="25"/>
      <c r="X30" s="18" t="s">
        <v>180</v>
      </c>
      <c r="Y30" s="18" t="s">
        <v>181</v>
      </c>
      <c r="Z30" s="19">
        <v>61</v>
      </c>
    </row>
    <row r="31" spans="1:26" x14ac:dyDescent="0.3">
      <c r="A31" s="4" t="s">
        <v>83</v>
      </c>
      <c r="B31" t="s">
        <v>84</v>
      </c>
      <c r="C31">
        <v>5</v>
      </c>
      <c r="D31" t="s">
        <v>61</v>
      </c>
      <c r="E31" s="1">
        <v>46182</v>
      </c>
      <c r="F31" s="2">
        <v>0.75</v>
      </c>
      <c r="H31" t="s">
        <v>516</v>
      </c>
      <c r="J31" s="22">
        <f t="shared" si="0"/>
        <v>58</v>
      </c>
      <c r="K31">
        <v>2</v>
      </c>
      <c r="M31" s="22">
        <f>VLOOKUP(Table1[[#This Row],[course_id]],X:Z,3,FALSE)</f>
        <v>44</v>
      </c>
      <c r="N31" s="22">
        <f>VLOOKUP(Table1[[#This Row],[course_name]],ΤΕΙ!I:J,2,FALSE)</f>
        <v>14</v>
      </c>
      <c r="S31" s="25"/>
      <c r="T31" s="25"/>
      <c r="X31" s="18" t="s">
        <v>50</v>
      </c>
      <c r="Y31" s="18" t="s">
        <v>51</v>
      </c>
      <c r="Z31" s="19">
        <v>24</v>
      </c>
    </row>
    <row r="32" spans="1:26" x14ac:dyDescent="0.3">
      <c r="A32" s="4" t="s">
        <v>85</v>
      </c>
      <c r="B32" t="s">
        <v>86</v>
      </c>
      <c r="C32">
        <v>5</v>
      </c>
      <c r="D32" t="s">
        <v>69</v>
      </c>
      <c r="E32" s="1">
        <v>46196</v>
      </c>
      <c r="F32" s="2">
        <v>0.375</v>
      </c>
      <c r="H32" t="s">
        <v>518</v>
      </c>
      <c r="J32" s="22">
        <f t="shared" si="0"/>
        <v>89</v>
      </c>
      <c r="K32" s="22">
        <v>3</v>
      </c>
      <c r="M32" s="22">
        <f>VLOOKUP(Table1[[#This Row],[course_id]],X:Z,3,FALSE)</f>
        <v>65</v>
      </c>
      <c r="N32" s="22">
        <f>VLOOKUP(Table1[[#This Row],[course_name]],ΤΕΙ!I:J,2,FALSE)</f>
        <v>24</v>
      </c>
      <c r="S32" s="25"/>
      <c r="T32" s="25"/>
      <c r="X32" s="18" t="s">
        <v>81</v>
      </c>
      <c r="Y32" s="18" t="s">
        <v>218</v>
      </c>
      <c r="Z32" s="19">
        <v>21</v>
      </c>
    </row>
    <row r="33" spans="1:26" x14ac:dyDescent="0.3">
      <c r="A33" s="4" t="s">
        <v>87</v>
      </c>
      <c r="B33" t="s">
        <v>219</v>
      </c>
      <c r="C33">
        <v>5</v>
      </c>
      <c r="D33" t="s">
        <v>77</v>
      </c>
      <c r="E33" s="1">
        <v>46199</v>
      </c>
      <c r="F33" s="3">
        <v>0.625</v>
      </c>
      <c r="H33" t="s">
        <v>516</v>
      </c>
      <c r="J33" s="22">
        <f t="shared" si="0"/>
        <v>51</v>
      </c>
      <c r="K33" s="22">
        <v>2</v>
      </c>
      <c r="M33" s="22">
        <f>VLOOKUP(Table1[[#This Row],[course_id]],X:Z,3,FALSE)</f>
        <v>46</v>
      </c>
      <c r="N33" s="22">
        <f>VLOOKUP(Table1[[#This Row],[course_name]],ΤΕΙ!I:J,2,FALSE)</f>
        <v>5</v>
      </c>
      <c r="S33" s="25"/>
      <c r="T33" s="25"/>
      <c r="X33" s="18" t="s">
        <v>85</v>
      </c>
      <c r="Y33" s="18" t="s">
        <v>86</v>
      </c>
      <c r="Z33" s="19">
        <v>65</v>
      </c>
    </row>
    <row r="34" spans="1:26" x14ac:dyDescent="0.3">
      <c r="A34" s="4" t="s">
        <v>88</v>
      </c>
      <c r="B34" t="s">
        <v>89</v>
      </c>
      <c r="C34">
        <v>5</v>
      </c>
      <c r="D34" t="s">
        <v>72</v>
      </c>
      <c r="E34" s="1">
        <v>46202</v>
      </c>
      <c r="F34" s="3">
        <v>0.625</v>
      </c>
      <c r="H34" t="s">
        <v>511</v>
      </c>
      <c r="J34" s="22">
        <f t="shared" si="0"/>
        <v>40</v>
      </c>
      <c r="K34" s="22">
        <v>2</v>
      </c>
      <c r="M34" s="22">
        <f>VLOOKUP(Table1[[#This Row],[course_id]],X:Z,3,FALSE)</f>
        <v>40</v>
      </c>
      <c r="S34" s="25"/>
      <c r="T34" s="25"/>
      <c r="X34" s="18" t="s">
        <v>107</v>
      </c>
      <c r="Y34" s="18" t="s">
        <v>108</v>
      </c>
      <c r="Z34" s="19">
        <v>55</v>
      </c>
    </row>
    <row r="35" spans="1:26" x14ac:dyDescent="0.3">
      <c r="A35" s="4" t="s">
        <v>90</v>
      </c>
      <c r="B35" t="s">
        <v>91</v>
      </c>
      <c r="C35">
        <v>6</v>
      </c>
      <c r="D35" t="s">
        <v>92</v>
      </c>
      <c r="E35" s="1">
        <v>46191</v>
      </c>
      <c r="F35" s="3">
        <v>0.625</v>
      </c>
      <c r="J35" s="22">
        <f t="shared" si="0"/>
        <v>16</v>
      </c>
      <c r="K35" s="22">
        <v>0</v>
      </c>
      <c r="M35" s="22">
        <f>VLOOKUP(Table1[[#This Row],[course_id]],X:Z,3,FALSE)</f>
        <v>8</v>
      </c>
      <c r="N35" s="22">
        <f>VLOOKUP(Table1[[#This Row],[course_name]],ΤΕΙ!I:J,2,FALSE)</f>
        <v>8</v>
      </c>
      <c r="S35" s="25"/>
      <c r="T35" s="25"/>
      <c r="X35" s="18" t="s">
        <v>128</v>
      </c>
      <c r="Y35" s="18" t="s">
        <v>129</v>
      </c>
      <c r="Z35" s="19">
        <v>16</v>
      </c>
    </row>
    <row r="36" spans="1:26" x14ac:dyDescent="0.3">
      <c r="A36" s="4" t="s">
        <v>93</v>
      </c>
      <c r="B36" t="s">
        <v>94</v>
      </c>
      <c r="C36">
        <v>6</v>
      </c>
      <c r="D36" t="s">
        <v>72</v>
      </c>
      <c r="E36" s="1">
        <v>46185</v>
      </c>
      <c r="F36" s="2">
        <v>0.75</v>
      </c>
      <c r="J36" s="22">
        <f t="shared" si="0"/>
        <v>8</v>
      </c>
      <c r="K36" s="22">
        <v>0</v>
      </c>
      <c r="M36" s="22">
        <f>VLOOKUP(Table1[[#This Row],[course_id]],X:Z,3,FALSE)</f>
        <v>2</v>
      </c>
      <c r="N36" s="22">
        <f>VLOOKUP(Table1[[#This Row],[course_name]],ΤΕΙ!I:J,2,FALSE)</f>
        <v>6</v>
      </c>
      <c r="S36" s="25"/>
      <c r="T36" s="25"/>
      <c r="X36" s="18" t="s">
        <v>204</v>
      </c>
      <c r="Y36" s="18" t="s">
        <v>238</v>
      </c>
      <c r="Z36" s="19">
        <v>16</v>
      </c>
    </row>
    <row r="37" spans="1:26" x14ac:dyDescent="0.3">
      <c r="A37" s="4" t="s">
        <v>95</v>
      </c>
      <c r="B37" t="s">
        <v>96</v>
      </c>
      <c r="C37">
        <v>6</v>
      </c>
      <c r="D37" t="s">
        <v>61</v>
      </c>
      <c r="E37" s="1">
        <v>46203</v>
      </c>
      <c r="F37" s="2">
        <v>0.75</v>
      </c>
      <c r="J37" s="22">
        <f t="shared" si="0"/>
        <v>2</v>
      </c>
      <c r="K37" s="22">
        <v>0</v>
      </c>
      <c r="M37" s="22">
        <f>VLOOKUP(Table1[[#This Row],[course_id]],X:Z,3,FALSE)</f>
        <v>2</v>
      </c>
      <c r="N37" s="22">
        <f>VLOOKUP(Table1[[#This Row],[course_name]],ΤΕΙ!I:J,2,FALSE)</f>
        <v>0</v>
      </c>
      <c r="S37" s="25"/>
      <c r="T37" s="25"/>
      <c r="X37" s="18" t="s">
        <v>203</v>
      </c>
      <c r="Y37" s="18" t="s">
        <v>237</v>
      </c>
      <c r="Z37" s="19">
        <v>19</v>
      </c>
    </row>
    <row r="38" spans="1:26" x14ac:dyDescent="0.3">
      <c r="A38" s="4" t="s">
        <v>97</v>
      </c>
      <c r="B38" t="s">
        <v>98</v>
      </c>
      <c r="C38">
        <v>6</v>
      </c>
      <c r="D38" t="s">
        <v>69</v>
      </c>
      <c r="E38" s="1">
        <v>46182</v>
      </c>
      <c r="F38" s="3">
        <v>0.625</v>
      </c>
      <c r="H38" t="s">
        <v>513</v>
      </c>
      <c r="J38" s="22">
        <f t="shared" si="0"/>
        <v>44</v>
      </c>
      <c r="K38" s="22">
        <v>2</v>
      </c>
      <c r="M38" s="22">
        <f>VLOOKUP(Table1[[#This Row],[course_id]],X:Z,3,FALSE)</f>
        <v>9</v>
      </c>
      <c r="N38" s="22">
        <f>VLOOKUP(Table1[[#This Row],[course_name]],ΤΕΙ!I:J,2,FALSE)</f>
        <v>35</v>
      </c>
      <c r="S38" s="25"/>
      <c r="T38" s="25"/>
      <c r="X38" s="18" t="s">
        <v>201</v>
      </c>
      <c r="Y38" s="18" t="s">
        <v>202</v>
      </c>
      <c r="Z38" s="19">
        <v>22</v>
      </c>
    </row>
    <row r="39" spans="1:26" x14ac:dyDescent="0.3">
      <c r="A39" s="4" t="s">
        <v>99</v>
      </c>
      <c r="B39" t="s">
        <v>220</v>
      </c>
      <c r="C39">
        <v>6</v>
      </c>
      <c r="D39" t="s">
        <v>100</v>
      </c>
      <c r="E39" s="1">
        <v>46189</v>
      </c>
      <c r="F39" s="3">
        <v>0.625</v>
      </c>
      <c r="J39" s="22">
        <f t="shared" si="0"/>
        <v>3</v>
      </c>
      <c r="K39" s="22">
        <v>0</v>
      </c>
      <c r="N39" s="22">
        <f>VLOOKUP(Table1[[#This Row],[course_name]],ΤΕΙ!I:J,2,FALSE)</f>
        <v>3</v>
      </c>
      <c r="S39" s="25"/>
      <c r="T39" s="25"/>
      <c r="X39" s="18" t="s">
        <v>125</v>
      </c>
      <c r="Y39" s="18" t="s">
        <v>126</v>
      </c>
      <c r="Z39" s="19">
        <v>18</v>
      </c>
    </row>
    <row r="40" spans="1:26" x14ac:dyDescent="0.3">
      <c r="A40" s="4" t="s">
        <v>101</v>
      </c>
      <c r="B40" t="s">
        <v>102</v>
      </c>
      <c r="C40">
        <v>6</v>
      </c>
      <c r="D40" t="s">
        <v>507</v>
      </c>
      <c r="E40" s="1">
        <v>46195</v>
      </c>
      <c r="F40" s="2">
        <v>0.75</v>
      </c>
      <c r="H40" t="s">
        <v>509</v>
      </c>
      <c r="J40" s="22">
        <f t="shared" si="0"/>
        <v>2</v>
      </c>
      <c r="K40" s="22">
        <v>1</v>
      </c>
      <c r="M40" s="22">
        <f>VLOOKUP(Table1[[#This Row],[course_id]],X:Z,3,FALSE)</f>
        <v>2</v>
      </c>
      <c r="S40" s="25"/>
      <c r="T40" s="25"/>
      <c r="X40" s="18" t="s">
        <v>57</v>
      </c>
      <c r="Y40" s="18" t="s">
        <v>58</v>
      </c>
      <c r="Z40" s="19">
        <v>38</v>
      </c>
    </row>
    <row r="41" spans="1:26" x14ac:dyDescent="0.3">
      <c r="A41" s="4" t="s">
        <v>104</v>
      </c>
      <c r="B41" t="s">
        <v>105</v>
      </c>
      <c r="C41">
        <v>6</v>
      </c>
      <c r="D41" t="s">
        <v>80</v>
      </c>
      <c r="E41" s="1">
        <v>46197</v>
      </c>
      <c r="F41" s="2">
        <v>0.375</v>
      </c>
      <c r="J41" s="22">
        <f t="shared" si="0"/>
        <v>11</v>
      </c>
      <c r="K41" s="22">
        <v>0</v>
      </c>
      <c r="M41" s="22">
        <f>VLOOKUP(Table1[[#This Row],[course_id]],X:Z,3,FALSE)</f>
        <v>4</v>
      </c>
      <c r="N41" s="22">
        <f>VLOOKUP(Table1[[#This Row],[course_name]],ΤΕΙ!I:J,2,FALSE)</f>
        <v>7</v>
      </c>
      <c r="S41" s="25"/>
      <c r="T41" s="25"/>
      <c r="X41" s="18" t="s">
        <v>116</v>
      </c>
      <c r="Y41" s="18" t="s">
        <v>341</v>
      </c>
      <c r="Z41" s="19">
        <v>20</v>
      </c>
    </row>
    <row r="42" spans="1:26" x14ac:dyDescent="0.3">
      <c r="A42" s="4" t="s">
        <v>106</v>
      </c>
      <c r="B42" t="s">
        <v>221</v>
      </c>
      <c r="C42">
        <v>7</v>
      </c>
      <c r="D42" t="s">
        <v>92</v>
      </c>
      <c r="E42" s="1">
        <v>46197</v>
      </c>
      <c r="F42" s="3">
        <v>0.625</v>
      </c>
      <c r="H42" t="s">
        <v>519</v>
      </c>
      <c r="J42" s="22">
        <f t="shared" si="0"/>
        <v>40</v>
      </c>
      <c r="K42" s="22">
        <v>2</v>
      </c>
      <c r="M42" s="22">
        <f>VLOOKUP(Table1[[#This Row],[course_id]],X:Z,3,FALSE)</f>
        <v>38</v>
      </c>
      <c r="N42" s="22">
        <f>VLOOKUP(Table1[[#This Row],[course_name]],ΤΕΙ!I:J,2,FALSE)</f>
        <v>2</v>
      </c>
      <c r="S42" s="25"/>
      <c r="T42" s="25"/>
      <c r="X42" s="18" t="s">
        <v>20</v>
      </c>
      <c r="Y42" s="18" t="s">
        <v>21</v>
      </c>
      <c r="Z42" s="21">
        <v>39</v>
      </c>
    </row>
    <row r="43" spans="1:26" x14ac:dyDescent="0.3">
      <c r="A43" s="4" t="s">
        <v>107</v>
      </c>
      <c r="B43" t="s">
        <v>108</v>
      </c>
      <c r="C43">
        <v>7</v>
      </c>
      <c r="D43" t="s">
        <v>144</v>
      </c>
      <c r="E43" s="1">
        <v>46183</v>
      </c>
      <c r="F43" s="2">
        <v>0.75</v>
      </c>
      <c r="H43" t="s">
        <v>516</v>
      </c>
      <c r="J43" s="22">
        <f t="shared" si="0"/>
        <v>55</v>
      </c>
      <c r="K43" s="22">
        <v>2</v>
      </c>
      <c r="M43" s="22">
        <f>VLOOKUP(Table1[[#This Row],[course_id]],X:Z,3,FALSE)</f>
        <v>55</v>
      </c>
      <c r="S43" s="25"/>
      <c r="T43" s="25"/>
      <c r="X43" s="18" t="s">
        <v>23</v>
      </c>
      <c r="Y43" s="18" t="s">
        <v>24</v>
      </c>
      <c r="Z43" s="21">
        <v>53</v>
      </c>
    </row>
    <row r="44" spans="1:26" x14ac:dyDescent="0.3">
      <c r="A44" s="5" t="s">
        <v>109</v>
      </c>
      <c r="B44" t="s">
        <v>222</v>
      </c>
      <c r="C44">
        <v>7</v>
      </c>
      <c r="D44" t="s">
        <v>30</v>
      </c>
      <c r="E44" s="1">
        <v>46188</v>
      </c>
      <c r="F44" s="3">
        <v>0.5</v>
      </c>
      <c r="J44" s="22">
        <f t="shared" si="0"/>
        <v>4</v>
      </c>
      <c r="K44" s="22">
        <v>0</v>
      </c>
      <c r="M44" s="22">
        <f>VLOOKUP(Table1[[#This Row],[course_id]],X:Z,3,FALSE)</f>
        <v>4</v>
      </c>
      <c r="S44" s="25"/>
      <c r="T44" s="25"/>
      <c r="X44" s="18" t="s">
        <v>209</v>
      </c>
      <c r="Y44" s="18" t="s">
        <v>210</v>
      </c>
      <c r="Z44" s="19">
        <v>18</v>
      </c>
    </row>
    <row r="45" spans="1:26" x14ac:dyDescent="0.3">
      <c r="A45" s="5" t="s">
        <v>110</v>
      </c>
      <c r="B45" t="s">
        <v>111</v>
      </c>
      <c r="C45">
        <v>7</v>
      </c>
      <c r="D45" t="s">
        <v>69</v>
      </c>
      <c r="E45" s="1">
        <v>46202</v>
      </c>
      <c r="F45" s="2">
        <v>0.75</v>
      </c>
      <c r="J45" s="22">
        <f t="shared" si="0"/>
        <v>7</v>
      </c>
      <c r="K45" s="22">
        <v>0</v>
      </c>
      <c r="M45" s="22">
        <f>VLOOKUP(Table1[[#This Row],[course_id]],X:Z,3,FALSE)</f>
        <v>7</v>
      </c>
      <c r="S45" s="25"/>
      <c r="T45" s="25"/>
      <c r="X45" s="18" t="s">
        <v>78</v>
      </c>
      <c r="Y45" s="18" t="s">
        <v>79</v>
      </c>
      <c r="Z45" s="19">
        <v>53</v>
      </c>
    </row>
    <row r="46" spans="1:26" x14ac:dyDescent="0.3">
      <c r="A46" s="5" t="s">
        <v>112</v>
      </c>
      <c r="B46" t="s">
        <v>113</v>
      </c>
      <c r="C46">
        <v>7</v>
      </c>
      <c r="D46" t="s">
        <v>22</v>
      </c>
      <c r="E46" s="1">
        <v>46196</v>
      </c>
      <c r="F46" s="3">
        <v>0.5</v>
      </c>
      <c r="H46" t="s">
        <v>508</v>
      </c>
      <c r="J46" s="22">
        <f t="shared" si="0"/>
        <v>25</v>
      </c>
      <c r="K46" s="22">
        <v>1</v>
      </c>
      <c r="M46" s="22">
        <f>VLOOKUP(Table1[[#This Row],[course_id]],X:Z,3,FALSE)</f>
        <v>25</v>
      </c>
      <c r="S46" s="25"/>
      <c r="T46" s="25"/>
      <c r="X46" s="18" t="s">
        <v>212</v>
      </c>
      <c r="Y46" s="18" t="s">
        <v>213</v>
      </c>
      <c r="Z46" s="19">
        <v>10</v>
      </c>
    </row>
    <row r="47" spans="1:26" x14ac:dyDescent="0.3">
      <c r="A47" s="5" t="s">
        <v>114</v>
      </c>
      <c r="B47" t="s">
        <v>115</v>
      </c>
      <c r="C47">
        <v>7</v>
      </c>
      <c r="J47" s="22">
        <f t="shared" si="0"/>
        <v>0</v>
      </c>
      <c r="K47" s="22">
        <v>0</v>
      </c>
      <c r="S47" s="25"/>
      <c r="T47" s="25"/>
      <c r="X47" s="18" t="s">
        <v>197</v>
      </c>
      <c r="Y47" s="18" t="s">
        <v>342</v>
      </c>
      <c r="Z47" s="19">
        <v>5</v>
      </c>
    </row>
    <row r="48" spans="1:26" x14ac:dyDescent="0.3">
      <c r="A48" s="5" t="s">
        <v>116</v>
      </c>
      <c r="B48" t="s">
        <v>223</v>
      </c>
      <c r="C48">
        <v>7</v>
      </c>
      <c r="D48" t="s">
        <v>72</v>
      </c>
      <c r="E48" s="1">
        <v>46185</v>
      </c>
      <c r="F48" s="3">
        <v>0.625</v>
      </c>
      <c r="J48" s="22">
        <f t="shared" si="0"/>
        <v>20</v>
      </c>
      <c r="K48" s="22">
        <v>0</v>
      </c>
      <c r="M48" s="22">
        <f>VLOOKUP(Table1[[#This Row],[course_id]],X:Z,3,FALSE)</f>
        <v>20</v>
      </c>
      <c r="S48" s="25"/>
      <c r="T48" s="25"/>
      <c r="X48" s="18" t="s">
        <v>139</v>
      </c>
      <c r="Y48" s="18" t="s">
        <v>140</v>
      </c>
      <c r="Z48" s="19">
        <v>3</v>
      </c>
    </row>
    <row r="49" spans="1:26" x14ac:dyDescent="0.3">
      <c r="A49" s="5" t="s">
        <v>118</v>
      </c>
      <c r="B49" t="s">
        <v>119</v>
      </c>
      <c r="C49">
        <v>7</v>
      </c>
      <c r="D49" t="s">
        <v>117</v>
      </c>
      <c r="E49" s="1">
        <v>46204</v>
      </c>
      <c r="F49" s="2">
        <v>0.375</v>
      </c>
      <c r="J49" s="22">
        <f t="shared" si="0"/>
        <v>9</v>
      </c>
      <c r="K49" s="22">
        <v>0</v>
      </c>
      <c r="M49" s="22">
        <f>VLOOKUP(Table1[[#This Row],[course_id]],X:Z,3,FALSE)</f>
        <v>9</v>
      </c>
      <c r="S49" s="25"/>
      <c r="T49" s="25"/>
      <c r="X49" s="18" t="s">
        <v>17</v>
      </c>
      <c r="Y49" s="18" t="s">
        <v>18</v>
      </c>
      <c r="Z49" s="21">
        <v>51</v>
      </c>
    </row>
    <row r="50" spans="1:26" x14ac:dyDescent="0.3">
      <c r="A50" s="5" t="s">
        <v>120</v>
      </c>
      <c r="B50" t="s">
        <v>121</v>
      </c>
      <c r="C50">
        <v>7</v>
      </c>
      <c r="D50" t="s">
        <v>242</v>
      </c>
      <c r="E50" s="1">
        <v>46189</v>
      </c>
      <c r="F50" s="2">
        <v>0.5</v>
      </c>
      <c r="J50" s="22">
        <f t="shared" si="0"/>
        <v>19</v>
      </c>
      <c r="K50" s="22">
        <v>0</v>
      </c>
      <c r="M50" s="22">
        <f>VLOOKUP(Table1[[#This Row],[course_id]],X:Z,3,FALSE)</f>
        <v>19</v>
      </c>
      <c r="S50" s="25"/>
      <c r="T50" s="25"/>
      <c r="X50" s="18" t="s">
        <v>145</v>
      </c>
      <c r="Y50" s="18" t="s">
        <v>226</v>
      </c>
      <c r="Z50" s="19">
        <v>2</v>
      </c>
    </row>
    <row r="51" spans="1:26" x14ac:dyDescent="0.3">
      <c r="A51" s="5" t="s">
        <v>122</v>
      </c>
      <c r="B51" t="s">
        <v>123</v>
      </c>
      <c r="C51">
        <v>7</v>
      </c>
      <c r="J51" s="22">
        <f t="shared" si="0"/>
        <v>0</v>
      </c>
      <c r="K51" s="22">
        <v>0</v>
      </c>
      <c r="S51" s="25"/>
      <c r="T51" s="25"/>
      <c r="X51" s="18" t="s">
        <v>142</v>
      </c>
      <c r="Y51" s="18" t="s">
        <v>143</v>
      </c>
      <c r="Z51" s="19">
        <v>8</v>
      </c>
    </row>
    <row r="52" spans="1:26" x14ac:dyDescent="0.3">
      <c r="A52" s="5" t="s">
        <v>124</v>
      </c>
      <c r="B52" t="s">
        <v>224</v>
      </c>
      <c r="C52">
        <v>7</v>
      </c>
      <c r="D52" t="s">
        <v>16</v>
      </c>
      <c r="E52" s="1">
        <v>46181</v>
      </c>
      <c r="F52" s="2">
        <v>0.75</v>
      </c>
      <c r="H52" t="s">
        <v>510</v>
      </c>
      <c r="J52" s="22">
        <f t="shared" si="0"/>
        <v>32</v>
      </c>
      <c r="K52" s="22">
        <v>1</v>
      </c>
      <c r="M52" s="22">
        <f>VLOOKUP(Table1[[#This Row],[course_id]],X:Z,3,FALSE)</f>
        <v>32</v>
      </c>
      <c r="S52" s="25"/>
      <c r="T52" s="25"/>
      <c r="X52" s="18" t="s">
        <v>62</v>
      </c>
      <c r="Y52" s="18" t="s">
        <v>63</v>
      </c>
      <c r="Z52" s="19">
        <v>2</v>
      </c>
    </row>
    <row r="53" spans="1:26" x14ac:dyDescent="0.3">
      <c r="A53" s="5" t="s">
        <v>125</v>
      </c>
      <c r="B53" t="s">
        <v>126</v>
      </c>
      <c r="C53">
        <v>7</v>
      </c>
      <c r="D53" t="s">
        <v>243</v>
      </c>
      <c r="E53" s="1">
        <v>46188</v>
      </c>
      <c r="F53" s="3">
        <v>0.5</v>
      </c>
      <c r="J53" s="22">
        <f t="shared" si="0"/>
        <v>18</v>
      </c>
      <c r="K53" s="22">
        <v>0</v>
      </c>
      <c r="M53" s="22">
        <f>VLOOKUP(Table1[[#This Row],[course_id]],X:Z,3,FALSE)</f>
        <v>18</v>
      </c>
      <c r="S53" s="25"/>
      <c r="T53" s="25"/>
      <c r="X53" s="18" t="s">
        <v>34</v>
      </c>
      <c r="Y53" s="18" t="s">
        <v>35</v>
      </c>
      <c r="Z53" s="19">
        <v>11</v>
      </c>
    </row>
    <row r="54" spans="1:26" x14ac:dyDescent="0.3">
      <c r="A54" s="5" t="s">
        <v>128</v>
      </c>
      <c r="B54" t="s">
        <v>129</v>
      </c>
      <c r="C54">
        <v>7</v>
      </c>
      <c r="D54" t="s">
        <v>243</v>
      </c>
      <c r="E54" s="1">
        <v>46204</v>
      </c>
      <c r="F54" s="2">
        <v>0.375</v>
      </c>
      <c r="J54" s="22">
        <f t="shared" si="0"/>
        <v>16</v>
      </c>
      <c r="K54" s="22">
        <v>0</v>
      </c>
      <c r="M54" s="22">
        <f>VLOOKUP(Table1[[#This Row],[course_id]],X:Z,3,FALSE)</f>
        <v>16</v>
      </c>
      <c r="S54" s="25"/>
      <c r="T54" s="25"/>
      <c r="X54" s="18" t="s">
        <v>36</v>
      </c>
      <c r="Y54" s="18" t="s">
        <v>37</v>
      </c>
      <c r="Z54" s="19">
        <v>1</v>
      </c>
    </row>
    <row r="55" spans="1:26" x14ac:dyDescent="0.3">
      <c r="A55" s="5" t="s">
        <v>130</v>
      </c>
      <c r="B55" t="s">
        <v>131</v>
      </c>
      <c r="C55">
        <v>7</v>
      </c>
      <c r="J55" s="22">
        <f t="shared" si="0"/>
        <v>0</v>
      </c>
      <c r="S55" s="25"/>
      <c r="T55" s="25"/>
      <c r="X55" s="18" t="s">
        <v>97</v>
      </c>
      <c r="Y55" s="18" t="s">
        <v>98</v>
      </c>
      <c r="Z55" s="19">
        <v>9</v>
      </c>
    </row>
    <row r="56" spans="1:26" x14ac:dyDescent="0.3">
      <c r="A56" s="5" t="s">
        <v>132</v>
      </c>
      <c r="B56" t="s">
        <v>133</v>
      </c>
      <c r="C56">
        <v>7</v>
      </c>
      <c r="J56" s="22">
        <f t="shared" si="0"/>
        <v>0</v>
      </c>
      <c r="S56" s="25"/>
      <c r="T56" s="25"/>
      <c r="X56" s="18" t="s">
        <v>70</v>
      </c>
      <c r="Y56" s="18" t="s">
        <v>71</v>
      </c>
      <c r="Z56" s="19">
        <v>1</v>
      </c>
    </row>
    <row r="57" spans="1:26" x14ac:dyDescent="0.3">
      <c r="A57" s="5" t="s">
        <v>134</v>
      </c>
      <c r="B57" t="s">
        <v>135</v>
      </c>
      <c r="C57">
        <v>7</v>
      </c>
      <c r="D57" t="s">
        <v>241</v>
      </c>
      <c r="E57" s="1">
        <v>46196</v>
      </c>
      <c r="F57" s="3">
        <v>0.5</v>
      </c>
      <c r="J57" s="22">
        <f t="shared" si="0"/>
        <v>0</v>
      </c>
      <c r="S57" s="25"/>
      <c r="T57" s="25"/>
      <c r="X57" s="18" t="s">
        <v>165</v>
      </c>
      <c r="Y57" s="18" t="s">
        <v>166</v>
      </c>
      <c r="Z57" s="19">
        <v>1</v>
      </c>
    </row>
    <row r="58" spans="1:26" x14ac:dyDescent="0.3">
      <c r="A58" s="5" t="s">
        <v>136</v>
      </c>
      <c r="B58" t="s">
        <v>137</v>
      </c>
      <c r="C58">
        <v>7</v>
      </c>
      <c r="D58" t="s">
        <v>138</v>
      </c>
      <c r="E58" s="1">
        <v>46199</v>
      </c>
      <c r="F58" s="2">
        <v>0.75</v>
      </c>
      <c r="J58" s="22">
        <f t="shared" si="0"/>
        <v>3</v>
      </c>
      <c r="K58" s="22">
        <v>0</v>
      </c>
      <c r="M58" s="22">
        <f>VLOOKUP(Table1[[#This Row],[course_id]],X:Z,3,FALSE)</f>
        <v>3</v>
      </c>
      <c r="S58" s="25"/>
      <c r="T58" s="25"/>
      <c r="X58" s="18" t="s">
        <v>93</v>
      </c>
      <c r="Y58" s="18" t="s">
        <v>94</v>
      </c>
      <c r="Z58" s="19">
        <v>2</v>
      </c>
    </row>
    <row r="59" spans="1:26" x14ac:dyDescent="0.3">
      <c r="A59" s="5" t="s">
        <v>139</v>
      </c>
      <c r="B59" t="s">
        <v>140</v>
      </c>
      <c r="C59">
        <v>7</v>
      </c>
      <c r="D59" t="s">
        <v>80</v>
      </c>
      <c r="E59" s="1">
        <v>46191</v>
      </c>
      <c r="F59" s="2">
        <v>0.5</v>
      </c>
      <c r="J59" s="22">
        <f t="shared" si="0"/>
        <v>3</v>
      </c>
      <c r="K59" s="22">
        <v>0</v>
      </c>
      <c r="M59" s="22">
        <f>VLOOKUP(Table1[[#This Row],[course_id]],X:Z,3,FALSE)</f>
        <v>3</v>
      </c>
      <c r="S59" s="25"/>
      <c r="T59" s="25"/>
      <c r="X59" s="18" t="s">
        <v>90</v>
      </c>
      <c r="Y59" s="18" t="s">
        <v>91</v>
      </c>
      <c r="Z59" s="19">
        <v>8</v>
      </c>
    </row>
    <row r="60" spans="1:26" x14ac:dyDescent="0.3">
      <c r="A60" s="4" t="s">
        <v>141</v>
      </c>
      <c r="B60" t="s">
        <v>225</v>
      </c>
      <c r="C60">
        <v>8</v>
      </c>
      <c r="D60" t="s">
        <v>77</v>
      </c>
      <c r="E60" s="1">
        <v>46197</v>
      </c>
      <c r="F60" s="2">
        <v>0.75</v>
      </c>
      <c r="J60" s="22">
        <f t="shared" si="0"/>
        <v>3</v>
      </c>
      <c r="K60" s="22">
        <v>0</v>
      </c>
      <c r="M60" s="22">
        <f>VLOOKUP(Table1[[#This Row],[course_id]],X:Z,3,FALSE)</f>
        <v>3</v>
      </c>
      <c r="S60" s="25"/>
      <c r="T60" s="25"/>
      <c r="X60" s="18" t="s">
        <v>64</v>
      </c>
      <c r="Y60" s="18" t="s">
        <v>65</v>
      </c>
      <c r="Z60" s="19">
        <v>1</v>
      </c>
    </row>
    <row r="61" spans="1:26" x14ac:dyDescent="0.3">
      <c r="A61" s="4" t="s">
        <v>142</v>
      </c>
      <c r="B61" t="s">
        <v>143</v>
      </c>
      <c r="C61">
        <v>8</v>
      </c>
      <c r="D61" t="s">
        <v>144</v>
      </c>
      <c r="E61" s="1">
        <v>46188</v>
      </c>
      <c r="F61" s="2">
        <v>0.75</v>
      </c>
      <c r="J61" s="22">
        <f t="shared" si="0"/>
        <v>13</v>
      </c>
      <c r="K61" s="22">
        <v>0</v>
      </c>
      <c r="M61" s="22">
        <f>VLOOKUP(Table1[[#This Row],[course_id]],X:Z,3,FALSE)</f>
        <v>8</v>
      </c>
      <c r="N61" s="22">
        <f>VLOOKUP(Table1[[#This Row],[course_name]],ΤΕΙ!I:J,2,FALSE)</f>
        <v>5</v>
      </c>
      <c r="S61" s="25"/>
      <c r="T61" s="25"/>
      <c r="X61" s="18" t="s">
        <v>95</v>
      </c>
      <c r="Y61" s="18" t="s">
        <v>96</v>
      </c>
      <c r="Z61" s="19">
        <v>2</v>
      </c>
    </row>
    <row r="62" spans="1:26" x14ac:dyDescent="0.3">
      <c r="A62" s="5" t="s">
        <v>145</v>
      </c>
      <c r="B62" t="s">
        <v>226</v>
      </c>
      <c r="C62">
        <v>8</v>
      </c>
      <c r="D62" t="s">
        <v>507</v>
      </c>
      <c r="E62" s="1">
        <v>46198</v>
      </c>
      <c r="F62" s="2">
        <v>0.75</v>
      </c>
      <c r="H62" t="s">
        <v>510</v>
      </c>
      <c r="J62" s="22">
        <f t="shared" si="0"/>
        <v>5</v>
      </c>
      <c r="K62" s="22">
        <v>1</v>
      </c>
      <c r="M62" s="22">
        <f>VLOOKUP(Table1[[#This Row],[course_id]],X:Z,3,FALSE)</f>
        <v>2</v>
      </c>
      <c r="N62" s="22">
        <f>VLOOKUP(Table1[[#This Row],[course_name]],ΤΕΙ!I:J,2,FALSE)</f>
        <v>3</v>
      </c>
      <c r="S62" s="25"/>
      <c r="T62" s="25"/>
      <c r="X62" s="18" t="s">
        <v>75</v>
      </c>
      <c r="Y62" s="18" t="s">
        <v>76</v>
      </c>
      <c r="Z62" s="19">
        <v>4</v>
      </c>
    </row>
    <row r="63" spans="1:26" x14ac:dyDescent="0.3">
      <c r="A63" s="5" t="s">
        <v>146</v>
      </c>
      <c r="B63" t="s">
        <v>147</v>
      </c>
      <c r="C63">
        <v>8</v>
      </c>
      <c r="D63" t="s">
        <v>72</v>
      </c>
      <c r="E63" s="1">
        <v>46204</v>
      </c>
      <c r="F63" s="3">
        <v>0.625</v>
      </c>
      <c r="J63" s="22">
        <f t="shared" si="0"/>
        <v>6</v>
      </c>
      <c r="K63" s="22">
        <v>0</v>
      </c>
      <c r="M63" s="22">
        <f>VLOOKUP(Table1[[#This Row],[course_id]],X:Z,3,FALSE)</f>
        <v>1</v>
      </c>
      <c r="N63" s="22">
        <f>VLOOKUP(Table1[[#This Row],[course_name]],ΤΕΙ!I:J,2,FALSE)</f>
        <v>5</v>
      </c>
      <c r="S63" s="25"/>
      <c r="T63" s="25"/>
      <c r="X63" s="18" t="s">
        <v>141</v>
      </c>
      <c r="Y63" s="18" t="s">
        <v>225</v>
      </c>
      <c r="Z63" s="19">
        <v>3</v>
      </c>
    </row>
    <row r="64" spans="1:26" x14ac:dyDescent="0.3">
      <c r="A64" s="5" t="s">
        <v>148</v>
      </c>
      <c r="B64" t="s">
        <v>227</v>
      </c>
      <c r="C64">
        <v>8</v>
      </c>
      <c r="D64" t="s">
        <v>25</v>
      </c>
      <c r="E64" s="1">
        <v>46184</v>
      </c>
      <c r="F64" s="2">
        <v>0.75</v>
      </c>
      <c r="J64" s="22">
        <f t="shared" si="0"/>
        <v>0</v>
      </c>
      <c r="S64" s="25"/>
      <c r="T64" s="25"/>
      <c r="X64" s="18" t="s">
        <v>31</v>
      </c>
      <c r="Y64" s="18" t="s">
        <v>32</v>
      </c>
      <c r="Z64" s="19">
        <v>16</v>
      </c>
    </row>
    <row r="65" spans="1:26" x14ac:dyDescent="0.3">
      <c r="A65" s="5" t="s">
        <v>149</v>
      </c>
      <c r="B65" t="s">
        <v>150</v>
      </c>
      <c r="C65">
        <v>8</v>
      </c>
      <c r="D65" t="s">
        <v>82</v>
      </c>
      <c r="E65" s="1">
        <v>46199</v>
      </c>
      <c r="F65" s="3">
        <v>0.5</v>
      </c>
      <c r="J65" s="22">
        <f t="shared" si="0"/>
        <v>4</v>
      </c>
      <c r="K65" s="22">
        <v>0</v>
      </c>
      <c r="N65" s="22">
        <f>VLOOKUP(Table1[[#This Row],[course_name]],ΤΕΙ!I:J,2,FALSE)</f>
        <v>4</v>
      </c>
      <c r="S65" s="25"/>
      <c r="T65" s="25"/>
      <c r="X65" s="18" t="s">
        <v>40</v>
      </c>
      <c r="Y65" s="18" t="s">
        <v>344</v>
      </c>
      <c r="Z65" s="19">
        <v>1</v>
      </c>
    </row>
    <row r="66" spans="1:26" x14ac:dyDescent="0.3">
      <c r="A66" s="5" t="s">
        <v>151</v>
      </c>
      <c r="B66" t="s">
        <v>152</v>
      </c>
      <c r="C66">
        <v>8</v>
      </c>
      <c r="J66" s="22">
        <f t="shared" ref="J66:J101" si="1">SUM(M66:N66)</f>
        <v>0</v>
      </c>
      <c r="S66" s="25"/>
      <c r="T66" s="25"/>
      <c r="X66" s="18" t="s">
        <v>146</v>
      </c>
      <c r="Y66" s="18" t="s">
        <v>147</v>
      </c>
      <c r="Z66" s="19">
        <v>1</v>
      </c>
    </row>
    <row r="67" spans="1:26" x14ac:dyDescent="0.3">
      <c r="A67" s="5" t="s">
        <v>153</v>
      </c>
      <c r="B67" t="s">
        <v>228</v>
      </c>
      <c r="C67">
        <v>8</v>
      </c>
      <c r="D67" t="s">
        <v>22</v>
      </c>
      <c r="E67" s="1">
        <v>46182</v>
      </c>
      <c r="F67" s="3">
        <v>0.5</v>
      </c>
      <c r="J67" s="22">
        <f t="shared" si="1"/>
        <v>3</v>
      </c>
      <c r="K67" s="22">
        <v>0</v>
      </c>
      <c r="N67" s="22">
        <f>VLOOKUP(Table1[[#This Row],[course_name]],ΤΕΙ!I:J,2,FALSE)</f>
        <v>3</v>
      </c>
      <c r="S67" s="25"/>
      <c r="T67" s="25"/>
      <c r="X67" s="18" t="s">
        <v>67</v>
      </c>
      <c r="Y67" s="18" t="s">
        <v>68</v>
      </c>
      <c r="Z67" s="19">
        <v>20</v>
      </c>
    </row>
    <row r="68" spans="1:26" x14ac:dyDescent="0.3">
      <c r="A68" s="5" t="s">
        <v>154</v>
      </c>
      <c r="B68" t="s">
        <v>155</v>
      </c>
      <c r="C68">
        <v>8</v>
      </c>
      <c r="J68" s="22">
        <f t="shared" si="1"/>
        <v>0</v>
      </c>
      <c r="S68" s="25"/>
      <c r="T68" s="25"/>
      <c r="X68" s="18" t="s">
        <v>42</v>
      </c>
      <c r="Y68" s="18" t="s">
        <v>43</v>
      </c>
      <c r="Z68" s="19">
        <v>1</v>
      </c>
    </row>
    <row r="69" spans="1:26" x14ac:dyDescent="0.3">
      <c r="A69" s="5" t="s">
        <v>156</v>
      </c>
      <c r="B69" t="s">
        <v>157</v>
      </c>
      <c r="C69">
        <v>8</v>
      </c>
      <c r="D69" t="s">
        <v>241</v>
      </c>
      <c r="E69" s="1">
        <v>46182</v>
      </c>
      <c r="F69" s="3">
        <v>0.5</v>
      </c>
      <c r="J69" s="22">
        <f t="shared" si="1"/>
        <v>0</v>
      </c>
      <c r="S69" s="25"/>
      <c r="T69" s="25"/>
      <c r="X69" s="18" t="s">
        <v>104</v>
      </c>
      <c r="Y69" s="18" t="s">
        <v>105</v>
      </c>
      <c r="Z69" s="19">
        <v>4</v>
      </c>
    </row>
    <row r="70" spans="1:26" x14ac:dyDescent="0.3">
      <c r="A70" s="5" t="s">
        <v>159</v>
      </c>
      <c r="B70" t="s">
        <v>160</v>
      </c>
      <c r="C70">
        <v>8</v>
      </c>
      <c r="D70" t="s">
        <v>241</v>
      </c>
      <c r="E70" s="1">
        <v>46202</v>
      </c>
      <c r="F70" s="3">
        <v>0.5</v>
      </c>
      <c r="J70" s="22">
        <f t="shared" si="1"/>
        <v>0</v>
      </c>
      <c r="S70" s="25"/>
      <c r="T70" s="25"/>
      <c r="X70" s="18" t="s">
        <v>101</v>
      </c>
      <c r="Y70" s="18" t="s">
        <v>102</v>
      </c>
      <c r="Z70" s="19">
        <v>2</v>
      </c>
    </row>
    <row r="71" spans="1:26" x14ac:dyDescent="0.3">
      <c r="A71" s="5" t="s">
        <v>161</v>
      </c>
      <c r="B71" t="s">
        <v>162</v>
      </c>
      <c r="C71">
        <v>8</v>
      </c>
      <c r="D71" t="s">
        <v>117</v>
      </c>
      <c r="E71" s="1">
        <v>46190</v>
      </c>
      <c r="F71" s="3">
        <v>0.375</v>
      </c>
      <c r="J71" s="22">
        <f t="shared" si="1"/>
        <v>0</v>
      </c>
      <c r="S71" s="25"/>
      <c r="T71" s="25"/>
    </row>
    <row r="72" spans="1:26" x14ac:dyDescent="0.3">
      <c r="A72" s="5" t="s">
        <v>163</v>
      </c>
      <c r="B72" t="s">
        <v>164</v>
      </c>
      <c r="C72">
        <v>8</v>
      </c>
      <c r="J72" s="22">
        <f t="shared" si="1"/>
        <v>0</v>
      </c>
      <c r="S72" s="25"/>
      <c r="T72" s="25"/>
    </row>
    <row r="73" spans="1:26" x14ac:dyDescent="0.3">
      <c r="A73" s="5" t="s">
        <v>165</v>
      </c>
      <c r="B73" t="s">
        <v>166</v>
      </c>
      <c r="C73">
        <v>8</v>
      </c>
      <c r="D73" t="s">
        <v>61</v>
      </c>
      <c r="E73" s="1">
        <v>46184</v>
      </c>
      <c r="F73" s="2">
        <v>0.75</v>
      </c>
      <c r="J73" s="22">
        <f t="shared" si="1"/>
        <v>2</v>
      </c>
      <c r="K73" s="22">
        <v>0</v>
      </c>
      <c r="M73" s="22">
        <f>VLOOKUP(Table1[[#This Row],[course_id]],X:Z,3,FALSE)</f>
        <v>1</v>
      </c>
      <c r="N73" s="22">
        <f>VLOOKUP(Table1[[#This Row],[course_name]],ΤΕΙ!I:J,2,FALSE)</f>
        <v>1</v>
      </c>
      <c r="S73" s="25"/>
      <c r="T73" s="25"/>
    </row>
    <row r="74" spans="1:26" x14ac:dyDescent="0.3">
      <c r="A74" s="5" t="s">
        <v>167</v>
      </c>
      <c r="B74" t="s">
        <v>168</v>
      </c>
      <c r="C74">
        <v>8</v>
      </c>
      <c r="D74" t="s">
        <v>243</v>
      </c>
      <c r="E74" s="1">
        <v>46182</v>
      </c>
      <c r="F74" s="3">
        <v>0.5</v>
      </c>
      <c r="J74" s="22">
        <f t="shared" si="1"/>
        <v>0</v>
      </c>
      <c r="S74" s="25"/>
      <c r="T74" s="25"/>
    </row>
    <row r="75" spans="1:26" x14ac:dyDescent="0.3">
      <c r="A75" s="5" t="s">
        <v>170</v>
      </c>
      <c r="B75" t="s">
        <v>229</v>
      </c>
      <c r="C75">
        <v>8</v>
      </c>
      <c r="D75" t="s">
        <v>243</v>
      </c>
      <c r="E75" s="1">
        <v>46199</v>
      </c>
      <c r="F75" s="3">
        <v>0.5</v>
      </c>
      <c r="J75" s="22">
        <f t="shared" si="1"/>
        <v>0</v>
      </c>
      <c r="S75" s="25"/>
      <c r="T75" s="25"/>
    </row>
    <row r="76" spans="1:26" x14ac:dyDescent="0.3">
      <c r="A76" s="5" t="s">
        <v>171</v>
      </c>
      <c r="B76" t="s">
        <v>230</v>
      </c>
      <c r="C76">
        <v>8</v>
      </c>
      <c r="J76" s="22">
        <f t="shared" si="1"/>
        <v>0</v>
      </c>
      <c r="S76" s="25"/>
      <c r="T76" s="25"/>
    </row>
    <row r="77" spans="1:26" x14ac:dyDescent="0.3">
      <c r="A77" s="5" t="s">
        <v>172</v>
      </c>
      <c r="B77" t="s">
        <v>173</v>
      </c>
      <c r="C77">
        <v>8</v>
      </c>
      <c r="D77" t="s">
        <v>66</v>
      </c>
      <c r="E77" s="1">
        <v>46199</v>
      </c>
      <c r="F77" s="3">
        <v>0.5</v>
      </c>
      <c r="J77" s="22">
        <f t="shared" si="1"/>
        <v>0</v>
      </c>
      <c r="S77" s="25"/>
      <c r="T77" s="25"/>
    </row>
    <row r="78" spans="1:26" x14ac:dyDescent="0.3">
      <c r="A78" s="5" t="s">
        <v>174</v>
      </c>
      <c r="B78" t="s">
        <v>175</v>
      </c>
      <c r="C78">
        <v>8</v>
      </c>
      <c r="D78" t="s">
        <v>176</v>
      </c>
      <c r="E78" s="1">
        <v>46184</v>
      </c>
      <c r="F78" s="2">
        <v>0.75</v>
      </c>
      <c r="J78" s="22">
        <f t="shared" si="1"/>
        <v>0</v>
      </c>
      <c r="S78" s="25"/>
      <c r="T78" s="25"/>
    </row>
    <row r="79" spans="1:26" x14ac:dyDescent="0.3">
      <c r="A79" s="5" t="s">
        <v>177</v>
      </c>
      <c r="B79" t="s">
        <v>178</v>
      </c>
      <c r="C79">
        <v>8</v>
      </c>
      <c r="D79" t="s">
        <v>80</v>
      </c>
      <c r="E79" s="1">
        <v>46190</v>
      </c>
      <c r="F79" s="3">
        <v>0.375</v>
      </c>
      <c r="J79" s="22">
        <f t="shared" si="1"/>
        <v>0</v>
      </c>
      <c r="S79" s="25"/>
      <c r="T79" s="25"/>
    </row>
    <row r="80" spans="1:26" x14ac:dyDescent="0.3">
      <c r="A80" s="5" t="s">
        <v>179</v>
      </c>
      <c r="B80" t="s">
        <v>231</v>
      </c>
      <c r="C80">
        <v>8</v>
      </c>
      <c r="J80" s="22">
        <f t="shared" si="1"/>
        <v>0</v>
      </c>
      <c r="S80" s="25"/>
      <c r="T80" s="25"/>
    </row>
    <row r="81" spans="1:20" x14ac:dyDescent="0.3">
      <c r="A81" s="4" t="s">
        <v>180</v>
      </c>
      <c r="B81" t="s">
        <v>181</v>
      </c>
      <c r="C81">
        <v>9</v>
      </c>
      <c r="D81" t="s">
        <v>80</v>
      </c>
      <c r="E81" s="1">
        <v>46197</v>
      </c>
      <c r="F81" s="3">
        <v>0.5</v>
      </c>
      <c r="H81" t="s">
        <v>519</v>
      </c>
      <c r="J81" s="22">
        <f t="shared" si="1"/>
        <v>61</v>
      </c>
      <c r="K81" s="22">
        <v>2</v>
      </c>
      <c r="M81" s="22">
        <f>VLOOKUP(Table1[[#This Row],[course_id]],X:Z,3,FALSE)</f>
        <v>61</v>
      </c>
      <c r="S81" s="25"/>
      <c r="T81" s="25"/>
    </row>
    <row r="82" spans="1:20" x14ac:dyDescent="0.3">
      <c r="A82" s="5" t="s">
        <v>182</v>
      </c>
      <c r="B82" t="s">
        <v>183</v>
      </c>
      <c r="C82">
        <v>9</v>
      </c>
      <c r="D82" t="s">
        <v>100</v>
      </c>
      <c r="E82" s="1">
        <v>46196</v>
      </c>
      <c r="F82" s="3">
        <v>0.625</v>
      </c>
      <c r="H82" t="s">
        <v>508</v>
      </c>
      <c r="J82" s="22">
        <f t="shared" si="1"/>
        <v>34</v>
      </c>
      <c r="K82" s="22">
        <v>1</v>
      </c>
      <c r="M82" s="22">
        <f>VLOOKUP(Table1[[#This Row],[course_id]],X:Z,3,FALSE)</f>
        <v>33</v>
      </c>
      <c r="N82" s="22">
        <f>VLOOKUP(Table1[[#This Row],[course_name]],ΤΕΙ!I:J,2,FALSE)</f>
        <v>1</v>
      </c>
      <c r="S82" s="25"/>
      <c r="T82" s="25"/>
    </row>
    <row r="83" spans="1:20" x14ac:dyDescent="0.3">
      <c r="A83" s="5" t="s">
        <v>184</v>
      </c>
      <c r="B83" t="s">
        <v>185</v>
      </c>
      <c r="C83">
        <v>9</v>
      </c>
      <c r="D83" t="s">
        <v>77</v>
      </c>
      <c r="E83" s="1">
        <v>46204</v>
      </c>
      <c r="F83" s="2">
        <v>0.75</v>
      </c>
      <c r="J83" s="22">
        <f t="shared" si="1"/>
        <v>9</v>
      </c>
      <c r="K83" s="22">
        <v>0</v>
      </c>
      <c r="M83" s="22">
        <f>VLOOKUP(Table1[[#This Row],[course_id]],X:Z,3,FALSE)</f>
        <v>4</v>
      </c>
      <c r="N83" s="22">
        <f>VLOOKUP(Table1[[#This Row],[course_name]],ΤΕΙ!I:J,2,FALSE)</f>
        <v>5</v>
      </c>
      <c r="S83" s="25"/>
      <c r="T83" s="25"/>
    </row>
    <row r="84" spans="1:20" x14ac:dyDescent="0.3">
      <c r="A84" s="5" t="s">
        <v>186</v>
      </c>
      <c r="B84" t="s">
        <v>232</v>
      </c>
      <c r="C84">
        <v>9</v>
      </c>
      <c r="D84" t="s">
        <v>92</v>
      </c>
      <c r="E84" s="1">
        <v>46189</v>
      </c>
      <c r="F84" s="3">
        <v>0.375</v>
      </c>
      <c r="J84" s="22">
        <f t="shared" si="1"/>
        <v>12</v>
      </c>
      <c r="K84" s="22">
        <v>0</v>
      </c>
      <c r="M84" s="22">
        <f>VLOOKUP(Table1[[#This Row],[course_id]],X:Z,3,FALSE)</f>
        <v>12</v>
      </c>
      <c r="S84" s="25"/>
      <c r="T84" s="25"/>
    </row>
    <row r="85" spans="1:20" x14ac:dyDescent="0.3">
      <c r="A85" s="5" t="s">
        <v>187</v>
      </c>
      <c r="B85" t="s">
        <v>188</v>
      </c>
      <c r="C85">
        <v>9</v>
      </c>
      <c r="D85" t="s">
        <v>49</v>
      </c>
      <c r="E85" s="1">
        <v>46183</v>
      </c>
      <c r="F85" s="3">
        <v>0.625</v>
      </c>
      <c r="J85" s="22">
        <f t="shared" si="1"/>
        <v>3</v>
      </c>
      <c r="K85" s="22">
        <v>0</v>
      </c>
      <c r="M85" s="22">
        <f>VLOOKUP(Table1[[#This Row],[course_id]],X:Z,3,FALSE)</f>
        <v>3</v>
      </c>
      <c r="S85" s="25"/>
      <c r="T85" s="25"/>
    </row>
    <row r="86" spans="1:20" x14ac:dyDescent="0.3">
      <c r="A86" s="5" t="s">
        <v>189</v>
      </c>
      <c r="B86" t="s">
        <v>190</v>
      </c>
      <c r="C86">
        <v>9</v>
      </c>
      <c r="D86" t="s">
        <v>82</v>
      </c>
      <c r="E86" s="1">
        <v>46203</v>
      </c>
      <c r="F86" s="3">
        <v>0.5</v>
      </c>
      <c r="J86" s="22">
        <f t="shared" si="1"/>
        <v>12</v>
      </c>
      <c r="K86" s="22">
        <v>0</v>
      </c>
      <c r="M86" s="22">
        <f>VLOOKUP(Table1[[#This Row],[course_id]],X:Z,3,FALSE)</f>
        <v>6</v>
      </c>
      <c r="N86" s="22">
        <f>VLOOKUP(Table1[[#This Row],[course_name]],ΤΕΙ!I:J,2,FALSE)</f>
        <v>6</v>
      </c>
      <c r="S86" s="25"/>
      <c r="T86" s="25"/>
    </row>
    <row r="87" spans="1:20" x14ac:dyDescent="0.3">
      <c r="A87" s="5" t="s">
        <v>191</v>
      </c>
      <c r="B87" t="s">
        <v>192</v>
      </c>
      <c r="C87">
        <v>9</v>
      </c>
      <c r="J87" s="22">
        <f t="shared" si="1"/>
        <v>2</v>
      </c>
      <c r="K87" s="22">
        <v>0</v>
      </c>
      <c r="N87" s="22">
        <f>VLOOKUP(Table1[[#This Row],[course_name]],ΤΕΙ!I:J,2,FALSE)</f>
        <v>2</v>
      </c>
      <c r="S87" s="25"/>
      <c r="T87" s="25"/>
    </row>
    <row r="88" spans="1:20" x14ac:dyDescent="0.3">
      <c r="A88" s="5" t="s">
        <v>193</v>
      </c>
      <c r="B88" t="s">
        <v>233</v>
      </c>
      <c r="C88">
        <v>9</v>
      </c>
      <c r="J88" s="22">
        <f t="shared" si="1"/>
        <v>0</v>
      </c>
      <c r="S88" s="25"/>
      <c r="T88" s="25"/>
    </row>
    <row r="89" spans="1:20" x14ac:dyDescent="0.3">
      <c r="A89" s="5" t="s">
        <v>194</v>
      </c>
      <c r="B89" t="s">
        <v>195</v>
      </c>
      <c r="C89">
        <v>9</v>
      </c>
      <c r="D89" t="s">
        <v>244</v>
      </c>
      <c r="E89" s="1">
        <v>46191</v>
      </c>
      <c r="F89" s="3">
        <v>0.5</v>
      </c>
      <c r="H89" t="s">
        <v>508</v>
      </c>
      <c r="J89" s="22">
        <f t="shared" si="1"/>
        <v>5</v>
      </c>
      <c r="K89" s="22">
        <v>1</v>
      </c>
      <c r="M89" s="22">
        <f>VLOOKUP(Table1[[#This Row],[course_id]],X:Z,3,FALSE)</f>
        <v>5</v>
      </c>
      <c r="S89" s="25"/>
      <c r="T89" s="25"/>
    </row>
    <row r="90" spans="1:20" x14ac:dyDescent="0.3">
      <c r="A90" s="5" t="s">
        <v>196</v>
      </c>
      <c r="B90" t="s">
        <v>234</v>
      </c>
      <c r="C90">
        <v>9</v>
      </c>
      <c r="D90" t="s">
        <v>117</v>
      </c>
      <c r="E90" s="1">
        <v>46189</v>
      </c>
      <c r="F90" s="3">
        <v>0.375</v>
      </c>
      <c r="J90" s="22">
        <f t="shared" si="1"/>
        <v>7</v>
      </c>
      <c r="K90" s="22">
        <v>0</v>
      </c>
      <c r="M90" s="22">
        <f>VLOOKUP(Table1[[#This Row],[course_id]],X:Z,3,FALSE)</f>
        <v>7</v>
      </c>
      <c r="S90" s="25"/>
      <c r="T90" s="25"/>
    </row>
    <row r="91" spans="1:20" x14ac:dyDescent="0.3">
      <c r="A91" s="5" t="s">
        <v>197</v>
      </c>
      <c r="B91" t="s">
        <v>235</v>
      </c>
      <c r="C91">
        <v>9</v>
      </c>
      <c r="D91" t="s">
        <v>244</v>
      </c>
      <c r="E91" s="1">
        <v>46188</v>
      </c>
      <c r="F91" s="3">
        <v>0.5</v>
      </c>
      <c r="H91" t="s">
        <v>77</v>
      </c>
      <c r="J91" s="22">
        <f t="shared" si="1"/>
        <v>5</v>
      </c>
      <c r="K91" s="22">
        <v>1</v>
      </c>
      <c r="M91" s="22">
        <f>VLOOKUP(Table1[[#This Row],[course_id]],X:Z,3,FALSE)</f>
        <v>5</v>
      </c>
      <c r="S91" s="25"/>
      <c r="T91" s="25"/>
    </row>
    <row r="92" spans="1:20" x14ac:dyDescent="0.3">
      <c r="A92" s="5" t="s">
        <v>198</v>
      </c>
      <c r="B92" t="s">
        <v>236</v>
      </c>
      <c r="C92">
        <v>9</v>
      </c>
      <c r="J92" s="22">
        <f t="shared" si="1"/>
        <v>0</v>
      </c>
      <c r="S92" s="25"/>
      <c r="T92" s="25"/>
    </row>
    <row r="93" spans="1:20" x14ac:dyDescent="0.3">
      <c r="A93" s="5" t="s">
        <v>199</v>
      </c>
      <c r="B93" t="s">
        <v>200</v>
      </c>
      <c r="C93">
        <v>9</v>
      </c>
      <c r="J93" s="22">
        <f t="shared" si="1"/>
        <v>0</v>
      </c>
      <c r="S93" s="25"/>
      <c r="T93" s="25"/>
    </row>
    <row r="94" spans="1:20" x14ac:dyDescent="0.3">
      <c r="A94" s="5" t="s">
        <v>201</v>
      </c>
      <c r="B94" t="s">
        <v>202</v>
      </c>
      <c r="C94">
        <v>9</v>
      </c>
      <c r="D94" t="s">
        <v>61</v>
      </c>
      <c r="E94" s="1">
        <v>46204</v>
      </c>
      <c r="F94" s="2">
        <v>0.75</v>
      </c>
      <c r="J94" s="22">
        <f t="shared" si="1"/>
        <v>22</v>
      </c>
      <c r="K94" s="22">
        <v>0</v>
      </c>
      <c r="M94" s="22">
        <f>VLOOKUP(Table1[[#This Row],[course_id]],X:Z,3,FALSE)</f>
        <v>22</v>
      </c>
      <c r="S94" s="25"/>
      <c r="T94" s="25"/>
    </row>
    <row r="95" spans="1:20" x14ac:dyDescent="0.3">
      <c r="A95" s="5" t="s">
        <v>203</v>
      </c>
      <c r="B95" t="s">
        <v>237</v>
      </c>
      <c r="C95">
        <v>9</v>
      </c>
      <c r="D95" t="s">
        <v>61</v>
      </c>
      <c r="E95" s="1">
        <v>46202</v>
      </c>
      <c r="F95" s="2">
        <v>0.75</v>
      </c>
      <c r="J95" s="22">
        <f t="shared" si="1"/>
        <v>19</v>
      </c>
      <c r="K95" s="22">
        <v>0</v>
      </c>
      <c r="M95" s="22">
        <f>VLOOKUP(Table1[[#This Row],[course_id]],X:Z,3,FALSE)</f>
        <v>19</v>
      </c>
      <c r="S95" s="25"/>
      <c r="T95" s="25"/>
    </row>
    <row r="96" spans="1:20" x14ac:dyDescent="0.3">
      <c r="A96" s="5" t="s">
        <v>204</v>
      </c>
      <c r="B96" t="s">
        <v>238</v>
      </c>
      <c r="C96">
        <v>9</v>
      </c>
      <c r="D96" t="s">
        <v>61</v>
      </c>
      <c r="E96" s="1">
        <v>46183</v>
      </c>
      <c r="F96" s="3">
        <v>0.625</v>
      </c>
      <c r="J96" s="22">
        <f t="shared" si="1"/>
        <v>22</v>
      </c>
      <c r="K96" s="22">
        <v>0</v>
      </c>
      <c r="M96" s="22">
        <f>VLOOKUP(Table1[[#This Row],[course_id]],X:Z,3,FALSE)</f>
        <v>16</v>
      </c>
      <c r="N96" s="22">
        <f>VLOOKUP(Table1[[#This Row],[course_name]],ΤΕΙ!I:J,2,FALSE)</f>
        <v>6</v>
      </c>
      <c r="S96" s="25"/>
      <c r="T96" s="25"/>
    </row>
    <row r="97" spans="1:20" x14ac:dyDescent="0.3">
      <c r="A97" s="5" t="s">
        <v>205</v>
      </c>
      <c r="B97" t="s">
        <v>206</v>
      </c>
      <c r="C97">
        <v>9</v>
      </c>
      <c r="J97" s="22">
        <f t="shared" si="1"/>
        <v>0</v>
      </c>
      <c r="S97" s="25"/>
      <c r="T97" s="25"/>
    </row>
    <row r="98" spans="1:20" x14ac:dyDescent="0.3">
      <c r="A98" s="5" t="s">
        <v>207</v>
      </c>
      <c r="B98" t="s">
        <v>208</v>
      </c>
      <c r="C98">
        <v>9</v>
      </c>
      <c r="J98" s="22">
        <f t="shared" si="1"/>
        <v>0</v>
      </c>
      <c r="S98" s="25"/>
      <c r="T98" s="25"/>
    </row>
    <row r="99" spans="1:20" x14ac:dyDescent="0.3">
      <c r="A99" s="5" t="s">
        <v>209</v>
      </c>
      <c r="B99" t="s">
        <v>210</v>
      </c>
      <c r="C99">
        <v>9</v>
      </c>
      <c r="D99" t="s">
        <v>66</v>
      </c>
      <c r="E99" s="1">
        <v>46184</v>
      </c>
      <c r="F99" s="3">
        <v>0.375</v>
      </c>
      <c r="J99" s="22">
        <f t="shared" si="1"/>
        <v>18</v>
      </c>
      <c r="K99" s="22">
        <v>0</v>
      </c>
      <c r="M99" s="22">
        <f>VLOOKUP(Table1[[#This Row],[course_id]],X:Z,3,FALSE)</f>
        <v>18</v>
      </c>
      <c r="S99" s="25"/>
      <c r="T99" s="25"/>
    </row>
    <row r="100" spans="1:20" x14ac:dyDescent="0.3">
      <c r="A100" s="5" t="s">
        <v>211</v>
      </c>
      <c r="B100" t="s">
        <v>239</v>
      </c>
      <c r="C100">
        <v>9</v>
      </c>
      <c r="D100" t="s">
        <v>241</v>
      </c>
      <c r="E100" s="1"/>
      <c r="F100" s="2"/>
      <c r="J100" s="22">
        <f t="shared" si="1"/>
        <v>0</v>
      </c>
      <c r="S100" s="25"/>
      <c r="T100" s="25"/>
    </row>
    <row r="101" spans="1:20" x14ac:dyDescent="0.3">
      <c r="A101" s="5" t="s">
        <v>212</v>
      </c>
      <c r="B101" t="s">
        <v>213</v>
      </c>
      <c r="C101">
        <v>9</v>
      </c>
      <c r="D101" t="s">
        <v>66</v>
      </c>
      <c r="E101" s="1">
        <v>46183</v>
      </c>
      <c r="F101" s="3">
        <v>0.625</v>
      </c>
      <c r="J101" s="22">
        <f t="shared" si="1"/>
        <v>10</v>
      </c>
      <c r="K101" s="22">
        <v>0</v>
      </c>
      <c r="M101" s="22">
        <f>VLOOKUP(Table1[[#This Row],[course_id]],X:Z,3,FALSE)</f>
        <v>10</v>
      </c>
      <c r="S101" s="25"/>
      <c r="T101" s="25"/>
    </row>
    <row r="102" spans="1:20" x14ac:dyDescent="0.3">
      <c r="A102" s="5" t="s">
        <v>214</v>
      </c>
      <c r="B102" t="s">
        <v>240</v>
      </c>
      <c r="C102">
        <v>9</v>
      </c>
      <c r="S102" s="25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2" max="2" width="51.88671875" bestFit="1" customWidth="1"/>
    <col min="3" max="3" width="27.109375" customWidth="1"/>
    <col min="4" max="4" width="14.44140625" customWidth="1"/>
    <col min="5" max="5" width="14.33203125" customWidth="1"/>
    <col min="6" max="6" width="13" customWidth="1"/>
    <col min="7" max="7" width="7.33203125" customWidth="1"/>
    <col min="8" max="8" width="12.5546875" customWidth="1"/>
    <col min="9" max="9" width="33.6640625" customWidth="1"/>
    <col min="10" max="10" width="23.88671875" customWidth="1"/>
    <col min="11" max="11" width="9.109375" customWidth="1"/>
    <col min="14" max="14" width="10" bestFit="1" customWidth="1"/>
    <col min="15" max="15" width="48.44140625" customWidth="1"/>
    <col min="16" max="16" width="6" style="20" bestFit="1" customWidth="1"/>
  </cols>
  <sheetData>
    <row r="1" spans="1:16" x14ac:dyDescent="0.3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502</v>
      </c>
      <c r="N1" s="18" t="s">
        <v>333</v>
      </c>
      <c r="O1" s="18" t="s">
        <v>334</v>
      </c>
      <c r="P1" s="19" t="s">
        <v>335</v>
      </c>
    </row>
    <row r="2" spans="1:16" x14ac:dyDescent="0.3">
      <c r="A2">
        <v>101</v>
      </c>
      <c r="B2" t="s">
        <v>287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46185</v>
      </c>
      <c r="F2" s="15">
        <f>VLOOKUP($I2,Table1[[#All],[course_name]:[epitirites]],5,FALSE)</f>
        <v>0.375</v>
      </c>
      <c r="I2" t="s">
        <v>13</v>
      </c>
      <c r="J2">
        <v>39</v>
      </c>
      <c r="N2" s="18" t="s">
        <v>348</v>
      </c>
      <c r="O2" s="18" t="s">
        <v>349</v>
      </c>
      <c r="P2" s="19">
        <v>39</v>
      </c>
    </row>
    <row r="3" spans="1:16" x14ac:dyDescent="0.3">
      <c r="A3">
        <f>A2+1</f>
        <v>102</v>
      </c>
      <c r="B3" t="s">
        <v>288</v>
      </c>
      <c r="C3" s="22">
        <v>1</v>
      </c>
      <c r="D3" s="13" t="s">
        <v>11</v>
      </c>
      <c r="E3" s="16">
        <v>46049</v>
      </c>
      <c r="F3" s="17">
        <v>0.75</v>
      </c>
      <c r="I3" t="s">
        <v>27</v>
      </c>
      <c r="J3">
        <v>4</v>
      </c>
      <c r="N3" s="18" t="s">
        <v>350</v>
      </c>
      <c r="O3" s="18" t="s">
        <v>351</v>
      </c>
      <c r="P3" s="19">
        <v>4</v>
      </c>
    </row>
    <row r="4" spans="1:16" x14ac:dyDescent="0.3">
      <c r="A4">
        <f t="shared" ref="A4:A7" si="0">A3+1</f>
        <v>103</v>
      </c>
      <c r="B4" t="s">
        <v>289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46182</v>
      </c>
      <c r="F4" s="15">
        <f>VLOOKUP($I4,Table1[[#All],[course_name]:[epitirites]],5,FALSE)</f>
        <v>0.375</v>
      </c>
      <c r="I4" t="s">
        <v>21</v>
      </c>
      <c r="J4">
        <v>2</v>
      </c>
      <c r="N4" s="18" t="s">
        <v>352</v>
      </c>
      <c r="O4" s="18" t="s">
        <v>353</v>
      </c>
      <c r="P4" s="19">
        <v>4</v>
      </c>
    </row>
    <row r="5" spans="1:16" x14ac:dyDescent="0.3">
      <c r="A5">
        <f t="shared" si="0"/>
        <v>104</v>
      </c>
      <c r="B5" t="s">
        <v>290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46198</v>
      </c>
      <c r="F5" s="15">
        <f>VLOOKUP($I5,Table1[[#All],[course_name]:[epitirites]],5,FALSE)</f>
        <v>0.5</v>
      </c>
      <c r="I5" t="s">
        <v>15</v>
      </c>
      <c r="J5">
        <v>11</v>
      </c>
      <c r="N5" s="18" t="s">
        <v>354</v>
      </c>
      <c r="O5" s="18" t="s">
        <v>355</v>
      </c>
      <c r="P5" s="19">
        <v>2</v>
      </c>
    </row>
    <row r="6" spans="1:16" x14ac:dyDescent="0.3">
      <c r="A6">
        <f t="shared" si="0"/>
        <v>105</v>
      </c>
      <c r="B6" t="s">
        <v>292</v>
      </c>
      <c r="C6" s="22">
        <v>1</v>
      </c>
      <c r="D6" t="str">
        <f>VLOOKUP($I6,Table1[[#All],[course_name]:[epitirites]],3,FALSE)</f>
        <v>Δροσόπουλος</v>
      </c>
      <c r="E6" s="14">
        <f>VLOOKUP($I6,Table1[[#All],[course_name]:[epitirites]],4,FALSE)</f>
        <v>46181</v>
      </c>
      <c r="F6" s="15">
        <f>VLOOKUP($I6,Table1[[#All],[course_name]:[epitirites]],5,FALSE)</f>
        <v>0.5</v>
      </c>
      <c r="I6" t="s">
        <v>29</v>
      </c>
      <c r="J6">
        <v>15</v>
      </c>
      <c r="N6" s="18" t="s">
        <v>356</v>
      </c>
      <c r="O6" s="18" t="s">
        <v>357</v>
      </c>
      <c r="P6" s="19">
        <v>8</v>
      </c>
    </row>
    <row r="7" spans="1:16" x14ac:dyDescent="0.3">
      <c r="A7">
        <f t="shared" si="0"/>
        <v>106</v>
      </c>
      <c r="B7" t="s">
        <v>291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46204</v>
      </c>
      <c r="F7" s="15">
        <f>VLOOKUP($I7,Table1[[#All],[course_name]:[epitirites]],5,FALSE)</f>
        <v>0.5</v>
      </c>
      <c r="I7" t="s">
        <v>18</v>
      </c>
      <c r="J7">
        <v>11</v>
      </c>
      <c r="N7" s="18" t="s">
        <v>358</v>
      </c>
      <c r="O7" s="18" t="s">
        <v>359</v>
      </c>
      <c r="P7" s="19">
        <v>11</v>
      </c>
    </row>
    <row r="8" spans="1:16" x14ac:dyDescent="0.3">
      <c r="A8">
        <v>201</v>
      </c>
      <c r="B8" t="s">
        <v>293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46184</v>
      </c>
      <c r="F8" s="15">
        <f>VLOOKUP($I8,Table1[[#All],[course_name]:[epitirites]],5,FALSE)</f>
        <v>0.625</v>
      </c>
      <c r="I8" t="s">
        <v>35</v>
      </c>
      <c r="J8">
        <v>39</v>
      </c>
      <c r="N8" s="18" t="s">
        <v>360</v>
      </c>
      <c r="O8" s="18" t="s">
        <v>361</v>
      </c>
      <c r="P8" s="19">
        <v>9</v>
      </c>
    </row>
    <row r="9" spans="1:16" x14ac:dyDescent="0.3">
      <c r="A9" t="s">
        <v>331</v>
      </c>
      <c r="B9" t="s">
        <v>294</v>
      </c>
      <c r="C9" s="22">
        <v>2</v>
      </c>
      <c r="D9" s="13" t="s">
        <v>19</v>
      </c>
      <c r="E9" s="14">
        <f>VLOOKUP($I9,Table1[[#All],[course_name]:[epitirites]],4,FALSE)</f>
        <v>46183</v>
      </c>
      <c r="F9" s="15">
        <f>VLOOKUP($I9,Table1[[#All],[course_name]:[epitirites]],5,FALSE)</f>
        <v>0.375</v>
      </c>
      <c r="I9" t="s">
        <v>217</v>
      </c>
      <c r="J9">
        <v>12</v>
      </c>
      <c r="N9" s="18" t="s">
        <v>362</v>
      </c>
      <c r="O9" s="18" t="s">
        <v>363</v>
      </c>
      <c r="P9" s="19">
        <v>15</v>
      </c>
    </row>
    <row r="10" spans="1:16" x14ac:dyDescent="0.3">
      <c r="A10" t="s">
        <v>332</v>
      </c>
      <c r="B10" t="s">
        <v>295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46195</v>
      </c>
      <c r="F10" s="15">
        <f>VLOOKUP($I10,Table1[[#All],[course_name]:[epitirites]],5,FALSE)</f>
        <v>0.625</v>
      </c>
      <c r="I10" t="s">
        <v>74</v>
      </c>
      <c r="J10">
        <v>15</v>
      </c>
      <c r="N10" s="18" t="s">
        <v>364</v>
      </c>
      <c r="O10" s="18" t="s">
        <v>365</v>
      </c>
      <c r="P10" s="19">
        <v>1</v>
      </c>
    </row>
    <row r="11" spans="1:16" x14ac:dyDescent="0.3">
      <c r="A11">
        <v>203</v>
      </c>
      <c r="B11" t="s">
        <v>296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46199</v>
      </c>
      <c r="F11" s="15">
        <f>VLOOKUP($I11,Table1[[#All],[course_name]:[epitirites]],5,FALSE)</f>
        <v>0.375</v>
      </c>
      <c r="I11" t="s">
        <v>45</v>
      </c>
      <c r="J11">
        <v>10</v>
      </c>
      <c r="N11" s="18" t="s">
        <v>366</v>
      </c>
      <c r="O11" s="18" t="s">
        <v>367</v>
      </c>
      <c r="P11" s="19">
        <v>11</v>
      </c>
    </row>
    <row r="12" spans="1:16" x14ac:dyDescent="0.3">
      <c r="A12">
        <f t="shared" ref="A12:A35" si="1">A11+1</f>
        <v>204</v>
      </c>
      <c r="B12" t="s">
        <v>63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46203</v>
      </c>
      <c r="F12" s="15">
        <f>VLOOKUP($I12,Table1[[#All],[course_name]:[epitirites]],5,FALSE)</f>
        <v>0.375</v>
      </c>
      <c r="I12" t="s">
        <v>63</v>
      </c>
      <c r="J12">
        <v>11</v>
      </c>
      <c r="N12" s="18" t="s">
        <v>368</v>
      </c>
      <c r="O12" s="18" t="s">
        <v>369</v>
      </c>
      <c r="P12" s="19">
        <v>38</v>
      </c>
    </row>
    <row r="13" spans="1:16" x14ac:dyDescent="0.3">
      <c r="A13">
        <f t="shared" si="1"/>
        <v>205</v>
      </c>
      <c r="B13" t="s">
        <v>297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46189</v>
      </c>
      <c r="F13" s="15">
        <f>VLOOKUP($I13,Table1[[#All],[course_name]:[epitirites]],5,FALSE)</f>
        <v>0.5</v>
      </c>
      <c r="I13" t="s">
        <v>39</v>
      </c>
      <c r="J13">
        <v>5</v>
      </c>
      <c r="N13" s="18" t="s">
        <v>331</v>
      </c>
      <c r="O13" s="18" t="s">
        <v>370</v>
      </c>
      <c r="P13" s="19">
        <v>12</v>
      </c>
    </row>
    <row r="14" spans="1:16" x14ac:dyDescent="0.3">
      <c r="A14">
        <f t="shared" si="1"/>
        <v>206</v>
      </c>
      <c r="B14" t="s">
        <v>298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46190</v>
      </c>
      <c r="F14" s="15">
        <f>VLOOKUP($I14,Table1[[#All],[course_name]:[epitirites]],5,FALSE)</f>
        <v>0.5</v>
      </c>
      <c r="I14" t="s">
        <v>24</v>
      </c>
      <c r="J14">
        <v>8</v>
      </c>
      <c r="N14" s="18" t="s">
        <v>332</v>
      </c>
      <c r="O14" s="18" t="s">
        <v>371</v>
      </c>
      <c r="P14" s="19">
        <v>15</v>
      </c>
    </row>
    <row r="15" spans="1:16" x14ac:dyDescent="0.3">
      <c r="A15">
        <v>301</v>
      </c>
      <c r="B15" t="s">
        <v>84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46182</v>
      </c>
      <c r="F15" s="15">
        <f>VLOOKUP($I15,Table1[[#All],[course_name]:[epitirites]],5,FALSE)</f>
        <v>0.75</v>
      </c>
      <c r="I15" t="s">
        <v>84</v>
      </c>
      <c r="J15">
        <v>14</v>
      </c>
      <c r="N15" s="18" t="s">
        <v>372</v>
      </c>
      <c r="O15" s="18" t="s">
        <v>373</v>
      </c>
      <c r="P15" s="19">
        <v>8</v>
      </c>
    </row>
    <row r="16" spans="1:16" x14ac:dyDescent="0.3">
      <c r="A16">
        <f t="shared" si="1"/>
        <v>302</v>
      </c>
      <c r="B16" t="s">
        <v>299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46198</v>
      </c>
      <c r="F16" s="15">
        <f>VLOOKUP($I16,Table1[[#All],[course_name]:[epitirites]],5,FALSE)</f>
        <v>0.375</v>
      </c>
      <c r="I16" t="s">
        <v>68</v>
      </c>
      <c r="J16">
        <v>13</v>
      </c>
      <c r="N16" s="18" t="s">
        <v>374</v>
      </c>
      <c r="O16" s="18" t="s">
        <v>375</v>
      </c>
      <c r="P16" s="19">
        <v>10</v>
      </c>
    </row>
    <row r="17" spans="1:16" x14ac:dyDescent="0.3">
      <c r="A17">
        <f t="shared" si="1"/>
        <v>303</v>
      </c>
      <c r="B17" t="s">
        <v>79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46191</v>
      </c>
      <c r="F17" s="15">
        <f>VLOOKUP($I17,Table1[[#All],[course_name]:[epitirites]],5,FALSE)</f>
        <v>0.375</v>
      </c>
      <c r="I17" t="s">
        <v>79</v>
      </c>
      <c r="J17">
        <v>7</v>
      </c>
      <c r="N17" s="18" t="s">
        <v>376</v>
      </c>
      <c r="O17" s="18" t="s">
        <v>377</v>
      </c>
      <c r="P17" s="19">
        <v>9</v>
      </c>
    </row>
    <row r="18" spans="1:16" x14ac:dyDescent="0.3">
      <c r="A18">
        <f t="shared" si="1"/>
        <v>304</v>
      </c>
      <c r="B18" t="s">
        <v>301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46195</v>
      </c>
      <c r="F18" s="15">
        <f>VLOOKUP($I18,Table1[[#All],[course_name]:[epitirites]],5,FALSE)</f>
        <v>0.375</v>
      </c>
      <c r="I18" t="s">
        <v>54</v>
      </c>
      <c r="J18">
        <v>5</v>
      </c>
      <c r="N18" s="18" t="s">
        <v>378</v>
      </c>
      <c r="O18" s="18" t="s">
        <v>379</v>
      </c>
      <c r="P18" s="19">
        <v>11</v>
      </c>
    </row>
    <row r="19" spans="1:16" x14ac:dyDescent="0.3">
      <c r="A19">
        <f t="shared" si="1"/>
        <v>305</v>
      </c>
      <c r="B19" t="s">
        <v>302</v>
      </c>
      <c r="C19" s="22">
        <v>3</v>
      </c>
      <c r="D19" s="13" t="s">
        <v>82</v>
      </c>
      <c r="E19" s="16">
        <v>46045</v>
      </c>
      <c r="F19" s="17">
        <v>0.625</v>
      </c>
      <c r="J19">
        <v>12</v>
      </c>
      <c r="N19" s="18" t="s">
        <v>380</v>
      </c>
      <c r="O19" s="18" t="s">
        <v>381</v>
      </c>
      <c r="P19" s="19">
        <v>5</v>
      </c>
    </row>
    <row r="20" spans="1:16" x14ac:dyDescent="0.3">
      <c r="A20">
        <v>401</v>
      </c>
      <c r="B20" t="s">
        <v>303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46196</v>
      </c>
      <c r="F20" s="15">
        <f>VLOOKUP($I20,Table1[[#All],[course_name]:[epitirites]],5,FALSE)</f>
        <v>0.375</v>
      </c>
      <c r="I20" t="s">
        <v>86</v>
      </c>
      <c r="J20">
        <v>24</v>
      </c>
      <c r="N20" s="18" t="s">
        <v>382</v>
      </c>
      <c r="O20" s="18" t="s">
        <v>383</v>
      </c>
      <c r="P20" s="19">
        <v>3</v>
      </c>
    </row>
    <row r="21" spans="1:16" x14ac:dyDescent="0.3">
      <c r="A21">
        <f t="shared" si="1"/>
        <v>402</v>
      </c>
      <c r="B21" t="s">
        <v>300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46188</v>
      </c>
      <c r="F21" s="15">
        <f>VLOOKUP($I21,Table1[[#All],[course_name]:[epitirites]],5,FALSE)</f>
        <v>0.625</v>
      </c>
      <c r="I21" t="s">
        <v>76</v>
      </c>
      <c r="J21">
        <v>10</v>
      </c>
      <c r="N21" s="18" t="s">
        <v>384</v>
      </c>
      <c r="O21" s="18" t="s">
        <v>385</v>
      </c>
      <c r="P21" s="19">
        <v>8</v>
      </c>
    </row>
    <row r="22" spans="1:16" x14ac:dyDescent="0.3">
      <c r="A22">
        <f t="shared" si="1"/>
        <v>403</v>
      </c>
      <c r="B22" t="s">
        <v>304</v>
      </c>
      <c r="C22" s="22">
        <v>4</v>
      </c>
      <c r="D22" t="str">
        <f>VLOOKUP($I22,Table1[[#All],[course_name]:[epitirites]],3,FALSE)</f>
        <v>Κίρτας</v>
      </c>
      <c r="E22" s="14">
        <f>VLOOKUP($I22,Table1[[#All],[course_name]:[epitirites]],4,FALSE)</f>
        <v>46181</v>
      </c>
      <c r="F22" s="15">
        <f>VLOOKUP($I22,Table1[[#All],[course_name]:[epitirites]],5,FALSE)</f>
        <v>0.625</v>
      </c>
      <c r="I22" t="s">
        <v>71</v>
      </c>
      <c r="J22">
        <v>8</v>
      </c>
      <c r="N22" s="18" t="s">
        <v>386</v>
      </c>
      <c r="O22" s="18" t="s">
        <v>387</v>
      </c>
      <c r="P22" s="19">
        <v>13</v>
      </c>
    </row>
    <row r="23" spans="1:16" x14ac:dyDescent="0.3">
      <c r="A23">
        <f t="shared" si="1"/>
        <v>404</v>
      </c>
      <c r="B23" t="s">
        <v>305</v>
      </c>
      <c r="C23" s="22">
        <v>4</v>
      </c>
      <c r="D23" t="str">
        <f>VLOOKUP($I23,Table1[[#All],[course_name]:[epitirites]],3,FALSE)</f>
        <v>Μιχαηλίδης</v>
      </c>
      <c r="E23" s="14">
        <f>VLOOKUP($I23,Table1[[#All],[course_name]:[epitirites]],4,FALSE)</f>
        <v>46197</v>
      </c>
      <c r="F23" s="15">
        <f>VLOOKUP($I23,Table1[[#All],[course_name]:[epitirites]],5,FALSE)</f>
        <v>0.375</v>
      </c>
      <c r="I23" t="s">
        <v>105</v>
      </c>
      <c r="J23">
        <v>7</v>
      </c>
      <c r="N23" s="18" t="s">
        <v>388</v>
      </c>
      <c r="O23" s="18" t="s">
        <v>389</v>
      </c>
      <c r="P23" s="19">
        <v>14</v>
      </c>
    </row>
    <row r="24" spans="1:16" x14ac:dyDescent="0.3">
      <c r="A24">
        <f t="shared" si="1"/>
        <v>405</v>
      </c>
      <c r="B24" t="s">
        <v>306</v>
      </c>
      <c r="C24" s="22">
        <v>4</v>
      </c>
      <c r="D24" s="13" t="s">
        <v>22</v>
      </c>
      <c r="E24" s="16">
        <v>46049</v>
      </c>
      <c r="F24" s="17">
        <v>0.375</v>
      </c>
      <c r="J24">
        <v>10</v>
      </c>
      <c r="N24" s="18" t="s">
        <v>390</v>
      </c>
      <c r="O24" s="18" t="s">
        <v>391</v>
      </c>
      <c r="P24" s="19">
        <v>9</v>
      </c>
    </row>
    <row r="25" spans="1:16" x14ac:dyDescent="0.3">
      <c r="A25">
        <f t="shared" si="1"/>
        <v>406</v>
      </c>
      <c r="B25" t="s">
        <v>307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46183</v>
      </c>
      <c r="F25" s="15">
        <f>VLOOKUP($I25,Table1[[#All],[course_name]:[epitirites]],5,FALSE)</f>
        <v>0.625</v>
      </c>
      <c r="I25" t="s">
        <v>238</v>
      </c>
      <c r="J25">
        <v>6</v>
      </c>
      <c r="N25" s="18" t="s">
        <v>392</v>
      </c>
      <c r="O25" s="18" t="s">
        <v>393</v>
      </c>
      <c r="P25" s="19">
        <v>13</v>
      </c>
    </row>
    <row r="26" spans="1:16" x14ac:dyDescent="0.3">
      <c r="A26">
        <v>501</v>
      </c>
      <c r="B26" t="s">
        <v>308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46182</v>
      </c>
      <c r="F26" s="15">
        <f>VLOOKUP($I26,Table1[[#All],[course_name]:[epitirites]],5,FALSE)</f>
        <v>0.625</v>
      </c>
      <c r="I26" t="s">
        <v>98</v>
      </c>
      <c r="J26">
        <v>35</v>
      </c>
      <c r="N26" s="18" t="s">
        <v>394</v>
      </c>
      <c r="O26" s="18" t="s">
        <v>395</v>
      </c>
      <c r="P26" s="19">
        <v>7</v>
      </c>
    </row>
    <row r="27" spans="1:16" x14ac:dyDescent="0.3">
      <c r="A27">
        <f t="shared" si="1"/>
        <v>502</v>
      </c>
      <c r="B27" t="s">
        <v>309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46199</v>
      </c>
      <c r="F27" s="15">
        <f>VLOOKUP($I27,Table1[[#All],[course_name]:[epitirites]],5,FALSE)</f>
        <v>0.625</v>
      </c>
      <c r="I27" t="s">
        <v>219</v>
      </c>
      <c r="J27">
        <v>5</v>
      </c>
      <c r="N27" s="18" t="s">
        <v>396</v>
      </c>
      <c r="O27" s="18" t="s">
        <v>397</v>
      </c>
      <c r="P27" s="19">
        <v>7</v>
      </c>
    </row>
    <row r="28" spans="1:16" x14ac:dyDescent="0.3">
      <c r="A28">
        <f t="shared" si="1"/>
        <v>503</v>
      </c>
      <c r="B28" t="s">
        <v>91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46191</v>
      </c>
      <c r="F28" s="15">
        <f>VLOOKUP($I28,Table1[[#All],[course_name]:[epitirites]],5,FALSE)</f>
        <v>0.625</v>
      </c>
      <c r="I28" t="s">
        <v>91</v>
      </c>
      <c r="J28">
        <v>8</v>
      </c>
      <c r="N28" s="18" t="s">
        <v>398</v>
      </c>
      <c r="O28" s="18" t="s">
        <v>399</v>
      </c>
      <c r="P28" s="19">
        <v>2</v>
      </c>
    </row>
    <row r="29" spans="1:16" x14ac:dyDescent="0.3">
      <c r="A29">
        <f t="shared" si="1"/>
        <v>504</v>
      </c>
      <c r="B29" t="s">
        <v>94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46185</v>
      </c>
      <c r="F29" s="15">
        <f>VLOOKUP($I29,Table1[[#All],[course_name]:[epitirites]],5,FALSE)</f>
        <v>0.75</v>
      </c>
      <c r="I29" t="s">
        <v>94</v>
      </c>
      <c r="J29">
        <v>6</v>
      </c>
      <c r="N29" s="18" t="s">
        <v>400</v>
      </c>
      <c r="O29" s="18" t="s">
        <v>401</v>
      </c>
      <c r="P29" s="19">
        <v>5</v>
      </c>
    </row>
    <row r="30" spans="1:16" x14ac:dyDescent="0.3">
      <c r="A30">
        <f t="shared" si="1"/>
        <v>505</v>
      </c>
      <c r="B30" t="s">
        <v>310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46185</v>
      </c>
      <c r="F30" s="15">
        <f>VLOOKUP($I30,Table1[[#All],[course_name]:[epitirites]],5,FALSE)</f>
        <v>0.5</v>
      </c>
      <c r="I30" t="s">
        <v>218</v>
      </c>
      <c r="J30">
        <v>7</v>
      </c>
      <c r="N30" s="18" t="s">
        <v>402</v>
      </c>
      <c r="O30" s="18" t="s">
        <v>403</v>
      </c>
      <c r="P30" s="19">
        <v>12</v>
      </c>
    </row>
    <row r="31" spans="1:16" x14ac:dyDescent="0.3">
      <c r="A31">
        <v>601</v>
      </c>
      <c r="B31" t="s">
        <v>311</v>
      </c>
      <c r="C31" s="22">
        <v>6</v>
      </c>
      <c r="D31" t="str">
        <f>VLOOKUP($I31,Table1[[#All],[course_name]:[epitirites]],3,FALSE)</f>
        <v>Λιαλιαμπής</v>
      </c>
      <c r="E31" s="14">
        <f>VLOOKUP($I31,Table1[[#All],[course_name]:[epitirites]],4,FALSE)</f>
        <v>46189</v>
      </c>
      <c r="F31" s="15">
        <f>VLOOKUP($I31,Table1[[#All],[course_name]:[epitirites]],5,FALSE)</f>
        <v>0.625</v>
      </c>
      <c r="I31" t="s">
        <v>220</v>
      </c>
      <c r="J31">
        <v>3</v>
      </c>
      <c r="N31" s="18" t="s">
        <v>404</v>
      </c>
      <c r="O31" s="18" t="s">
        <v>405</v>
      </c>
      <c r="P31" s="19">
        <v>21</v>
      </c>
    </row>
    <row r="32" spans="1:16" x14ac:dyDescent="0.3">
      <c r="A32">
        <f t="shared" si="1"/>
        <v>602</v>
      </c>
      <c r="B32" t="s">
        <v>312</v>
      </c>
      <c r="C32" s="22">
        <v>6</v>
      </c>
      <c r="D32" t="str">
        <f>VLOOKUP($I32,Table1[[#All],[course_name]:[epitirites]],3,FALSE)</f>
        <v>Αναστασιάδης</v>
      </c>
      <c r="E32" s="14">
        <f>VLOOKUP($I32,Table1[[#All],[course_name]:[epitirites]],4,FALSE)</f>
        <v>46188</v>
      </c>
      <c r="F32" s="15">
        <f>VLOOKUP($I32,Table1[[#All],[course_name]:[epitirites]],5,FALSE)</f>
        <v>0.75</v>
      </c>
      <c r="I32" t="s">
        <v>143</v>
      </c>
      <c r="J32">
        <v>5</v>
      </c>
      <c r="N32" s="18" t="s">
        <v>406</v>
      </c>
      <c r="O32" s="18" t="s">
        <v>407</v>
      </c>
      <c r="P32" s="19">
        <v>24</v>
      </c>
    </row>
    <row r="33" spans="1:16" x14ac:dyDescent="0.3">
      <c r="A33">
        <f t="shared" si="1"/>
        <v>603</v>
      </c>
      <c r="B33" t="s">
        <v>313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46199</v>
      </c>
      <c r="F33" s="15">
        <f>VLOOKUP($I33,Table1[[#All],[course_name]:[epitirites]],5,FALSE)</f>
        <v>0.5</v>
      </c>
      <c r="I33" t="s">
        <v>150</v>
      </c>
      <c r="J33">
        <v>4</v>
      </c>
      <c r="N33" s="18" t="s">
        <v>408</v>
      </c>
      <c r="O33" s="18" t="s">
        <v>409</v>
      </c>
      <c r="P33" s="19">
        <v>8</v>
      </c>
    </row>
    <row r="34" spans="1:16" x14ac:dyDescent="0.3">
      <c r="A34">
        <f t="shared" si="1"/>
        <v>604</v>
      </c>
      <c r="B34" t="s">
        <v>190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46203</v>
      </c>
      <c r="F34" s="15">
        <f>VLOOKUP($I34,Table1[[#All],[course_name]:[epitirites]],5,FALSE)</f>
        <v>0.5</v>
      </c>
      <c r="I34" t="s">
        <v>190</v>
      </c>
      <c r="J34">
        <v>6</v>
      </c>
      <c r="N34" s="18" t="s">
        <v>410</v>
      </c>
      <c r="O34" s="18" t="s">
        <v>411</v>
      </c>
      <c r="P34" s="19">
        <v>10</v>
      </c>
    </row>
    <row r="35" spans="1:16" x14ac:dyDescent="0.3">
      <c r="A35">
        <f t="shared" si="1"/>
        <v>605</v>
      </c>
      <c r="B35" t="s">
        <v>314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46197</v>
      </c>
      <c r="F35" s="15">
        <f>VLOOKUP($I35,Table1[[#All],[course_name]:[epitirites]],5,FALSE)</f>
        <v>0.625</v>
      </c>
      <c r="I35" t="s">
        <v>221</v>
      </c>
      <c r="J35">
        <v>2</v>
      </c>
      <c r="N35" s="18" t="s">
        <v>412</v>
      </c>
      <c r="O35" s="18" t="s">
        <v>413</v>
      </c>
      <c r="P35" s="19">
        <v>2</v>
      </c>
    </row>
    <row r="36" spans="1:16" x14ac:dyDescent="0.3">
      <c r="A36" t="s">
        <v>323</v>
      </c>
      <c r="B36" t="s">
        <v>315</v>
      </c>
      <c r="C36" s="22">
        <v>6</v>
      </c>
      <c r="D36" t="str">
        <f>VLOOKUP($I36,Table1[[#All],[course_name]:[epitirites]],3,FALSE)</f>
        <v>Κίρτας</v>
      </c>
      <c r="E36" s="14">
        <f>VLOOKUP($I36,Table1[[#All],[course_name]:[epitirites]],4,FALSE)</f>
        <v>46204</v>
      </c>
      <c r="F36" s="15">
        <f>VLOOKUP($I36,Table1[[#All],[course_name]:[epitirites]],5,FALSE)</f>
        <v>0.625</v>
      </c>
      <c r="I36" t="s">
        <v>147</v>
      </c>
      <c r="J36">
        <v>5</v>
      </c>
      <c r="N36" s="18" t="s">
        <v>414</v>
      </c>
      <c r="O36" s="18" t="s">
        <v>415</v>
      </c>
      <c r="P36" s="19">
        <v>8</v>
      </c>
    </row>
    <row r="37" spans="1:16" x14ac:dyDescent="0.3">
      <c r="A37" t="s">
        <v>324</v>
      </c>
      <c r="B37" t="s">
        <v>96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46203</v>
      </c>
      <c r="F37" s="15">
        <f>VLOOKUP($I37,Table1[[#All],[course_name]:[epitirites]],5,FALSE)</f>
        <v>0.75</v>
      </c>
      <c r="I37" t="s">
        <v>96</v>
      </c>
      <c r="N37" s="18" t="s">
        <v>416</v>
      </c>
      <c r="O37" s="18" t="s">
        <v>417</v>
      </c>
      <c r="P37" s="19">
        <v>7</v>
      </c>
    </row>
    <row r="38" spans="1:16" x14ac:dyDescent="0.3">
      <c r="A38">
        <v>701</v>
      </c>
      <c r="B38" t="s">
        <v>316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46196</v>
      </c>
      <c r="F38" s="15">
        <f>VLOOKUP($I38,Table1[[#All],[course_name]:[epitirites]],5,FALSE)</f>
        <v>0.625</v>
      </c>
      <c r="I38" t="s">
        <v>183</v>
      </c>
      <c r="J38">
        <v>1</v>
      </c>
      <c r="N38" s="18" t="s">
        <v>418</v>
      </c>
      <c r="O38" s="18" t="s">
        <v>419</v>
      </c>
      <c r="P38" s="19">
        <v>7</v>
      </c>
    </row>
    <row r="39" spans="1:16" x14ac:dyDescent="0.3">
      <c r="A39">
        <v>702</v>
      </c>
      <c r="B39" t="s">
        <v>317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46198</v>
      </c>
      <c r="F39" s="15">
        <f>VLOOKUP($I39,Table1[[#All],[course_name]:[epitirites]],5,FALSE)</f>
        <v>0.75</v>
      </c>
      <c r="I39" t="s">
        <v>226</v>
      </c>
      <c r="J39">
        <v>3</v>
      </c>
      <c r="N39" s="18" t="s">
        <v>420</v>
      </c>
      <c r="O39" s="18" t="s">
        <v>421</v>
      </c>
      <c r="P39" s="19">
        <v>3</v>
      </c>
    </row>
    <row r="40" spans="1:16" x14ac:dyDescent="0.3">
      <c r="A40" t="s">
        <v>325</v>
      </c>
      <c r="B40" t="s">
        <v>192</v>
      </c>
      <c r="C40" s="22">
        <v>7</v>
      </c>
      <c r="D40" s="13" t="s">
        <v>82</v>
      </c>
      <c r="E40" s="16">
        <v>46063</v>
      </c>
      <c r="F40" s="17">
        <v>0.625</v>
      </c>
      <c r="I40" t="s">
        <v>192</v>
      </c>
      <c r="J40">
        <v>2</v>
      </c>
      <c r="N40" s="18" t="s">
        <v>422</v>
      </c>
      <c r="O40" s="18" t="s">
        <v>423</v>
      </c>
      <c r="P40" s="19">
        <v>10</v>
      </c>
    </row>
    <row r="41" spans="1:16" x14ac:dyDescent="0.3">
      <c r="A41" t="s">
        <v>326</v>
      </c>
      <c r="B41" t="s">
        <v>318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46182</v>
      </c>
      <c r="F41" s="15">
        <f>VLOOKUP($I41,Table1[[#All],[course_name]:[epitirites]],5,FALSE)</f>
        <v>0.5</v>
      </c>
      <c r="I41" t="s">
        <v>228</v>
      </c>
      <c r="J41">
        <v>3</v>
      </c>
      <c r="N41" s="18" t="s">
        <v>424</v>
      </c>
      <c r="O41" s="18" t="s">
        <v>425</v>
      </c>
      <c r="P41" s="19">
        <v>2</v>
      </c>
    </row>
    <row r="42" spans="1:16" x14ac:dyDescent="0.3">
      <c r="A42" t="s">
        <v>327</v>
      </c>
      <c r="B42" t="s">
        <v>319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46204</v>
      </c>
      <c r="F42" s="15">
        <f>VLOOKUP($I42,Table1[[#All],[course_name]:[epitirites]],5,FALSE)</f>
        <v>0.75</v>
      </c>
      <c r="I42" t="s">
        <v>185</v>
      </c>
      <c r="J42">
        <v>5</v>
      </c>
      <c r="N42" s="18" t="s">
        <v>426</v>
      </c>
      <c r="O42" s="18" t="s">
        <v>427</v>
      </c>
      <c r="P42" s="19">
        <v>6</v>
      </c>
    </row>
    <row r="43" spans="1:16" x14ac:dyDescent="0.3">
      <c r="A43" t="s">
        <v>328</v>
      </c>
      <c r="B43" t="s">
        <v>320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46184</v>
      </c>
      <c r="F43" s="15">
        <f>VLOOKUP($I43,Table1[[#All],[course_name]:[epitirites]],5,FALSE)</f>
        <v>0.75</v>
      </c>
      <c r="I43" t="s">
        <v>166</v>
      </c>
      <c r="J43">
        <v>1</v>
      </c>
      <c r="N43" s="18" t="s">
        <v>428</v>
      </c>
      <c r="O43" s="18" t="s">
        <v>429</v>
      </c>
      <c r="P43" s="19">
        <v>32</v>
      </c>
    </row>
    <row r="44" spans="1:16" x14ac:dyDescent="0.3">
      <c r="A44" t="s">
        <v>329</v>
      </c>
      <c r="B44" t="s">
        <v>321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46191</v>
      </c>
      <c r="F44" s="15">
        <f>VLOOKUP($I44,Table1[[#All],[course_name]:[epitirites]],5,FALSE)</f>
        <v>0.75</v>
      </c>
      <c r="I44" t="s">
        <v>51</v>
      </c>
      <c r="N44" s="18" t="s">
        <v>430</v>
      </c>
      <c r="O44" s="18" t="s">
        <v>431</v>
      </c>
      <c r="P44" s="19">
        <v>35</v>
      </c>
    </row>
    <row r="45" spans="1:16" x14ac:dyDescent="0.3">
      <c r="A45" t="s">
        <v>330</v>
      </c>
      <c r="B45" t="s">
        <v>322</v>
      </c>
      <c r="C45" s="22">
        <v>7</v>
      </c>
      <c r="D45" s="13" t="s">
        <v>22</v>
      </c>
      <c r="E45" s="16">
        <v>46049</v>
      </c>
      <c r="F45" s="17">
        <v>0.375</v>
      </c>
      <c r="J45">
        <v>1</v>
      </c>
      <c r="N45" s="18" t="s">
        <v>432</v>
      </c>
      <c r="O45" s="18" t="s">
        <v>433</v>
      </c>
      <c r="P45" s="19">
        <v>5</v>
      </c>
    </row>
    <row r="46" spans="1:16" x14ac:dyDescent="0.3">
      <c r="N46" s="18" t="s">
        <v>434</v>
      </c>
      <c r="O46" s="18" t="s">
        <v>435</v>
      </c>
      <c r="P46" s="19">
        <v>4</v>
      </c>
    </row>
    <row r="47" spans="1:16" x14ac:dyDescent="0.3">
      <c r="N47" s="18" t="s">
        <v>436</v>
      </c>
      <c r="O47" s="18" t="s">
        <v>437</v>
      </c>
      <c r="P47" s="19">
        <v>7</v>
      </c>
    </row>
    <row r="48" spans="1:16" x14ac:dyDescent="0.3">
      <c r="N48" s="18" t="s">
        <v>438</v>
      </c>
      <c r="O48" s="18" t="s">
        <v>439</v>
      </c>
      <c r="P48" s="19">
        <v>8</v>
      </c>
    </row>
    <row r="49" spans="14:16" x14ac:dyDescent="0.3">
      <c r="N49" s="18" t="s">
        <v>440</v>
      </c>
      <c r="O49" s="18" t="s">
        <v>441</v>
      </c>
      <c r="P49" s="19">
        <v>5</v>
      </c>
    </row>
    <row r="50" spans="14:16" x14ac:dyDescent="0.3">
      <c r="N50" s="18" t="s">
        <v>442</v>
      </c>
      <c r="O50" s="18" t="s">
        <v>443</v>
      </c>
      <c r="P50" s="19">
        <v>6</v>
      </c>
    </row>
    <row r="51" spans="14:16" x14ac:dyDescent="0.3">
      <c r="N51" s="18" t="s">
        <v>444</v>
      </c>
      <c r="O51" s="18" t="s">
        <v>445</v>
      </c>
      <c r="P51" s="19">
        <v>7</v>
      </c>
    </row>
    <row r="52" spans="14:16" x14ac:dyDescent="0.3">
      <c r="N52" s="18" t="s">
        <v>446</v>
      </c>
      <c r="O52" s="18" t="s">
        <v>447</v>
      </c>
      <c r="P52" s="19">
        <v>3</v>
      </c>
    </row>
    <row r="53" spans="14:16" x14ac:dyDescent="0.3">
      <c r="N53" s="18" t="s">
        <v>448</v>
      </c>
      <c r="O53" s="18" t="s">
        <v>449</v>
      </c>
      <c r="P53" s="19">
        <v>3</v>
      </c>
    </row>
    <row r="54" spans="14:16" x14ac:dyDescent="0.3">
      <c r="N54" s="18" t="s">
        <v>450</v>
      </c>
      <c r="O54" s="18" t="s">
        <v>451</v>
      </c>
      <c r="P54" s="19">
        <v>2</v>
      </c>
    </row>
    <row r="55" spans="14:16" x14ac:dyDescent="0.3">
      <c r="N55" s="18" t="s">
        <v>452</v>
      </c>
      <c r="O55" s="18" t="s">
        <v>453</v>
      </c>
      <c r="P55" s="19">
        <v>5</v>
      </c>
    </row>
    <row r="56" spans="14:16" x14ac:dyDescent="0.3">
      <c r="N56" s="18" t="s">
        <v>454</v>
      </c>
      <c r="O56" s="18" t="s">
        <v>455</v>
      </c>
      <c r="P56" s="19">
        <v>3</v>
      </c>
    </row>
    <row r="57" spans="14:16" x14ac:dyDescent="0.3">
      <c r="N57" s="18" t="s">
        <v>456</v>
      </c>
      <c r="O57" s="18" t="s">
        <v>457</v>
      </c>
      <c r="P57" s="19">
        <v>4</v>
      </c>
    </row>
    <row r="58" spans="14:16" x14ac:dyDescent="0.3">
      <c r="N58" s="18" t="s">
        <v>458</v>
      </c>
      <c r="O58" s="18" t="s">
        <v>459</v>
      </c>
      <c r="P58" s="19">
        <v>5</v>
      </c>
    </row>
    <row r="59" spans="14:16" x14ac:dyDescent="0.3">
      <c r="N59" s="18" t="s">
        <v>460</v>
      </c>
      <c r="O59" s="18" t="s">
        <v>461</v>
      </c>
      <c r="P59" s="19">
        <v>6</v>
      </c>
    </row>
    <row r="60" spans="14:16" x14ac:dyDescent="0.3">
      <c r="N60" s="18" t="s">
        <v>462</v>
      </c>
      <c r="O60" s="18" t="s">
        <v>463</v>
      </c>
      <c r="P60" s="19">
        <v>2</v>
      </c>
    </row>
    <row r="61" spans="14:16" x14ac:dyDescent="0.3">
      <c r="N61" s="18" t="s">
        <v>464</v>
      </c>
      <c r="O61" s="18" t="s">
        <v>465</v>
      </c>
      <c r="P61" s="19">
        <v>2</v>
      </c>
    </row>
    <row r="62" spans="14:16" x14ac:dyDescent="0.3">
      <c r="N62" s="18" t="s">
        <v>466</v>
      </c>
      <c r="O62" s="18" t="s">
        <v>467</v>
      </c>
      <c r="P62" s="19">
        <v>4</v>
      </c>
    </row>
    <row r="63" spans="14:16" x14ac:dyDescent="0.3">
      <c r="N63" s="18" t="s">
        <v>468</v>
      </c>
      <c r="O63" s="18" t="s">
        <v>469</v>
      </c>
      <c r="P63" s="19">
        <v>5</v>
      </c>
    </row>
    <row r="64" spans="14:16" x14ac:dyDescent="0.3">
      <c r="N64" s="18" t="s">
        <v>470</v>
      </c>
      <c r="O64" s="18" t="s">
        <v>471</v>
      </c>
      <c r="P64" s="19">
        <v>1</v>
      </c>
    </row>
    <row r="65" spans="14:16" x14ac:dyDescent="0.3">
      <c r="N65" s="18" t="s">
        <v>472</v>
      </c>
      <c r="O65" s="18" t="s">
        <v>473</v>
      </c>
      <c r="P65" s="19">
        <v>1</v>
      </c>
    </row>
    <row r="66" spans="14:16" x14ac:dyDescent="0.3">
      <c r="N66" s="18" t="s">
        <v>474</v>
      </c>
      <c r="O66" s="18" t="s">
        <v>475</v>
      </c>
      <c r="P66" s="19">
        <v>3</v>
      </c>
    </row>
    <row r="67" spans="14:16" x14ac:dyDescent="0.3">
      <c r="N67" s="18" t="s">
        <v>476</v>
      </c>
      <c r="O67" s="18" t="s">
        <v>477</v>
      </c>
      <c r="P67" s="19">
        <v>2</v>
      </c>
    </row>
    <row r="68" spans="14:16" x14ac:dyDescent="0.3">
      <c r="N68" s="18" t="s">
        <v>478</v>
      </c>
      <c r="O68" s="18" t="s">
        <v>479</v>
      </c>
      <c r="P68" s="19">
        <v>2</v>
      </c>
    </row>
    <row r="69" spans="14:16" x14ac:dyDescent="0.3">
      <c r="N69" s="18" t="s">
        <v>480</v>
      </c>
      <c r="O69" s="18" t="s">
        <v>481</v>
      </c>
      <c r="P69" s="19">
        <v>3</v>
      </c>
    </row>
    <row r="70" spans="14:16" x14ac:dyDescent="0.3">
      <c r="N70" s="18" t="s">
        <v>482</v>
      </c>
      <c r="O70" s="18" t="s">
        <v>483</v>
      </c>
      <c r="P70" s="19">
        <v>3</v>
      </c>
    </row>
    <row r="71" spans="14:16" x14ac:dyDescent="0.3">
      <c r="N71" s="18" t="s">
        <v>484</v>
      </c>
      <c r="O71" s="18" t="s">
        <v>485</v>
      </c>
      <c r="P71" s="19">
        <v>5</v>
      </c>
    </row>
    <row r="72" spans="14:16" x14ac:dyDescent="0.3">
      <c r="N72" s="18" t="s">
        <v>486</v>
      </c>
      <c r="O72" s="18" t="s">
        <v>487</v>
      </c>
      <c r="P72" s="19">
        <v>8</v>
      </c>
    </row>
    <row r="73" spans="14:16" x14ac:dyDescent="0.3">
      <c r="N73" s="18" t="s">
        <v>488</v>
      </c>
      <c r="O73" s="18" t="s">
        <v>489</v>
      </c>
      <c r="P73" s="19">
        <v>1</v>
      </c>
    </row>
    <row r="74" spans="14:16" x14ac:dyDescent="0.3">
      <c r="N74" s="18" t="s">
        <v>490</v>
      </c>
      <c r="O74" s="18" t="s">
        <v>491</v>
      </c>
      <c r="P74" s="19">
        <v>1</v>
      </c>
    </row>
    <row r="75" spans="14:16" x14ac:dyDescent="0.3">
      <c r="N75" s="18" t="s">
        <v>492</v>
      </c>
      <c r="O75" s="18" t="s">
        <v>493</v>
      </c>
      <c r="P75" s="19">
        <v>1</v>
      </c>
    </row>
    <row r="76" spans="14:16" x14ac:dyDescent="0.3">
      <c r="N76" s="18" t="s">
        <v>494</v>
      </c>
      <c r="O76" s="18" t="s">
        <v>495</v>
      </c>
      <c r="P76" s="19">
        <v>1</v>
      </c>
    </row>
    <row r="77" spans="14:16" x14ac:dyDescent="0.3">
      <c r="N77" s="18" t="s">
        <v>496</v>
      </c>
      <c r="O77" s="18" t="s">
        <v>497</v>
      </c>
      <c r="P77" s="19">
        <v>10</v>
      </c>
    </row>
    <row r="78" spans="14:16" x14ac:dyDescent="0.3">
      <c r="N78" s="18" t="s">
        <v>498</v>
      </c>
      <c r="O78" s="18" t="s">
        <v>499</v>
      </c>
      <c r="P78" s="19">
        <v>5</v>
      </c>
    </row>
    <row r="79" spans="14:16" x14ac:dyDescent="0.3">
      <c r="N79" s="18" t="s">
        <v>500</v>
      </c>
      <c r="O79" s="18" t="s">
        <v>501</v>
      </c>
      <c r="P79" s="19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4.4" x14ac:dyDescent="0.3"/>
  <cols>
    <col min="1" max="1" width="18.88671875" customWidth="1"/>
    <col min="2" max="2" width="66.88671875" customWidth="1"/>
    <col min="3" max="3" width="11.44140625" customWidth="1"/>
    <col min="4" max="4" width="14.6640625" customWidth="1"/>
    <col min="5" max="6" width="13" customWidth="1"/>
    <col min="7" max="7" width="10.33203125" customWidth="1"/>
    <col min="8" max="8" width="34.109375" customWidth="1"/>
    <col min="9" max="9" width="15.5546875" customWidth="1"/>
    <col min="10" max="10" width="9.66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3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3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3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3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3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3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3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3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3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3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3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3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3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3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3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3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3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3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3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3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3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3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3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3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3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3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3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3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3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3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3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3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3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3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3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3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3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3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3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3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3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3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3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3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3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3">
      <c r="A47" s="5" t="s">
        <v>114</v>
      </c>
      <c r="B47" t="s">
        <v>115</v>
      </c>
      <c r="C47">
        <v>7</v>
      </c>
      <c r="J47" s="1"/>
    </row>
    <row r="48" spans="1:10" x14ac:dyDescent="0.3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3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3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3">
      <c r="A51" s="5" t="s">
        <v>122</v>
      </c>
      <c r="B51" t="s">
        <v>123</v>
      </c>
      <c r="C51">
        <v>7</v>
      </c>
      <c r="J51" s="1"/>
    </row>
    <row r="52" spans="1:10" x14ac:dyDescent="0.3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3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3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3">
      <c r="A55" s="5" t="s">
        <v>130</v>
      </c>
      <c r="B55" t="s">
        <v>131</v>
      </c>
      <c r="C55">
        <v>7</v>
      </c>
      <c r="J55" s="1"/>
    </row>
    <row r="56" spans="1:10" x14ac:dyDescent="0.3">
      <c r="A56" s="5" t="s">
        <v>132</v>
      </c>
      <c r="B56" t="s">
        <v>133</v>
      </c>
      <c r="C56">
        <v>7</v>
      </c>
      <c r="J56" s="1"/>
    </row>
    <row r="57" spans="1:10" x14ac:dyDescent="0.3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3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3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3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3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3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3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3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3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3">
      <c r="A66" s="5" t="s">
        <v>151</v>
      </c>
      <c r="B66" t="s">
        <v>152</v>
      </c>
      <c r="C66">
        <v>8</v>
      </c>
      <c r="J66" s="1"/>
    </row>
    <row r="67" spans="1:10" x14ac:dyDescent="0.3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3">
      <c r="A68" s="5" t="s">
        <v>154</v>
      </c>
      <c r="B68" t="s">
        <v>155</v>
      </c>
      <c r="C68">
        <v>8</v>
      </c>
      <c r="J68" s="1"/>
    </row>
    <row r="69" spans="1:10" x14ac:dyDescent="0.3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3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3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3">
      <c r="A72" s="5" t="s">
        <v>163</v>
      </c>
      <c r="B72" t="s">
        <v>164</v>
      </c>
      <c r="C72">
        <v>8</v>
      </c>
      <c r="J72" s="1"/>
    </row>
    <row r="73" spans="1:10" x14ac:dyDescent="0.3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3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3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3">
      <c r="A76" s="5" t="s">
        <v>171</v>
      </c>
      <c r="B76" t="s">
        <v>230</v>
      </c>
      <c r="C76">
        <v>8</v>
      </c>
      <c r="J76" s="1"/>
    </row>
    <row r="77" spans="1:10" x14ac:dyDescent="0.3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3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3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3">
      <c r="A80" s="5" t="s">
        <v>179</v>
      </c>
      <c r="B80" t="s">
        <v>231</v>
      </c>
      <c r="C80">
        <v>8</v>
      </c>
      <c r="J80" s="1"/>
    </row>
    <row r="81" spans="1:10" x14ac:dyDescent="0.3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3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3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3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3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3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3">
      <c r="A87" s="5" t="s">
        <v>191</v>
      </c>
      <c r="B87" t="s">
        <v>192</v>
      </c>
      <c r="C87">
        <v>9</v>
      </c>
      <c r="J87" s="1"/>
    </row>
    <row r="88" spans="1:10" x14ac:dyDescent="0.3">
      <c r="A88" s="5" t="s">
        <v>193</v>
      </c>
      <c r="B88" t="s">
        <v>233</v>
      </c>
      <c r="C88">
        <v>9</v>
      </c>
      <c r="J88" s="1"/>
    </row>
    <row r="89" spans="1:10" x14ac:dyDescent="0.3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3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3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3">
      <c r="A92" s="5" t="s">
        <v>198</v>
      </c>
      <c r="B92" t="s">
        <v>236</v>
      </c>
      <c r="C92">
        <v>9</v>
      </c>
      <c r="J92" s="1"/>
    </row>
    <row r="93" spans="1:10" x14ac:dyDescent="0.3">
      <c r="A93" s="5" t="s">
        <v>199</v>
      </c>
      <c r="B93" t="s">
        <v>200</v>
      </c>
      <c r="C93">
        <v>9</v>
      </c>
      <c r="J93" s="1"/>
    </row>
    <row r="94" spans="1:10" x14ac:dyDescent="0.3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3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3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3">
      <c r="A97" s="5" t="s">
        <v>205</v>
      </c>
      <c r="B97" t="s">
        <v>206</v>
      </c>
      <c r="C97">
        <v>9</v>
      </c>
      <c r="J97" s="1"/>
    </row>
    <row r="98" spans="1:10" x14ac:dyDescent="0.3">
      <c r="A98" s="5" t="s">
        <v>207</v>
      </c>
      <c r="B98" t="s">
        <v>208</v>
      </c>
      <c r="C98">
        <v>9</v>
      </c>
      <c r="J98" s="1"/>
    </row>
    <row r="99" spans="1:10" x14ac:dyDescent="0.3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3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3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3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4.4" x14ac:dyDescent="0.3"/>
  <cols>
    <col min="1" max="1" width="65" bestFit="1" customWidth="1"/>
    <col min="2" max="2" width="8.6640625" customWidth="1"/>
    <col min="3" max="3" width="70" bestFit="1" customWidth="1"/>
    <col min="4" max="4" width="61" bestFit="1" customWidth="1"/>
  </cols>
  <sheetData>
    <row r="1" spans="1:2" x14ac:dyDescent="0.3">
      <c r="A1" s="8" t="s">
        <v>10</v>
      </c>
      <c r="B1" s="8">
        <v>1</v>
      </c>
    </row>
    <row r="2" spans="1:2" x14ac:dyDescent="0.3">
      <c r="A2" s="9" t="s">
        <v>13</v>
      </c>
      <c r="B2" s="9">
        <v>1</v>
      </c>
    </row>
    <row r="3" spans="1:2" x14ac:dyDescent="0.3">
      <c r="A3" s="8" t="s">
        <v>15</v>
      </c>
      <c r="B3" s="8">
        <v>1</v>
      </c>
    </row>
    <row r="4" spans="1:2" x14ac:dyDescent="0.3">
      <c r="A4" s="9" t="s">
        <v>18</v>
      </c>
      <c r="B4" s="9">
        <v>1</v>
      </c>
    </row>
    <row r="5" spans="1:2" x14ac:dyDescent="0.3">
      <c r="A5" s="8" t="s">
        <v>21</v>
      </c>
      <c r="B5" s="8">
        <v>1</v>
      </c>
    </row>
    <row r="6" spans="1:2" x14ac:dyDescent="0.3">
      <c r="A6" s="9" t="s">
        <v>24</v>
      </c>
      <c r="B6" s="9">
        <v>1</v>
      </c>
    </row>
    <row r="7" spans="1:2" x14ac:dyDescent="0.3">
      <c r="A7" s="8" t="s">
        <v>27</v>
      </c>
      <c r="B7" s="8">
        <v>1</v>
      </c>
    </row>
    <row r="8" spans="1:2" x14ac:dyDescent="0.3">
      <c r="A8" s="9" t="s">
        <v>29</v>
      </c>
      <c r="B8" s="9">
        <v>2</v>
      </c>
    </row>
    <row r="9" spans="1:2" x14ac:dyDescent="0.3">
      <c r="A9" s="8" t="s">
        <v>32</v>
      </c>
      <c r="B9" s="8">
        <v>2</v>
      </c>
    </row>
    <row r="10" spans="1:2" x14ac:dyDescent="0.3">
      <c r="A10" s="9" t="s">
        <v>35</v>
      </c>
      <c r="B10" s="9">
        <v>2</v>
      </c>
    </row>
    <row r="11" spans="1:2" x14ac:dyDescent="0.3">
      <c r="A11" s="8" t="s">
        <v>37</v>
      </c>
      <c r="B11" s="8">
        <v>2</v>
      </c>
    </row>
    <row r="12" spans="1:2" x14ac:dyDescent="0.3">
      <c r="A12" s="9" t="s">
        <v>39</v>
      </c>
      <c r="B12" s="9">
        <v>2</v>
      </c>
    </row>
    <row r="13" spans="1:2" x14ac:dyDescent="0.3">
      <c r="A13" s="8" t="s">
        <v>217</v>
      </c>
      <c r="B13" s="8">
        <v>2</v>
      </c>
    </row>
    <row r="14" spans="1:2" x14ac:dyDescent="0.3">
      <c r="A14" s="9" t="s">
        <v>43</v>
      </c>
      <c r="B14" s="9">
        <v>2</v>
      </c>
    </row>
    <row r="15" spans="1:2" x14ac:dyDescent="0.3">
      <c r="A15" s="8" t="s">
        <v>45</v>
      </c>
      <c r="B15" s="8">
        <v>3</v>
      </c>
    </row>
    <row r="16" spans="1:2" x14ac:dyDescent="0.3">
      <c r="A16" s="9" t="s">
        <v>48</v>
      </c>
      <c r="B16" s="9">
        <v>3</v>
      </c>
    </row>
    <row r="17" spans="1:2" x14ac:dyDescent="0.3">
      <c r="A17" s="8" t="s">
        <v>51</v>
      </c>
      <c r="B17" s="8">
        <v>3</v>
      </c>
    </row>
    <row r="18" spans="1:2" x14ac:dyDescent="0.3">
      <c r="A18" s="9" t="s">
        <v>54</v>
      </c>
      <c r="B18" s="9">
        <v>3</v>
      </c>
    </row>
    <row r="19" spans="1:2" x14ac:dyDescent="0.3">
      <c r="A19" s="8" t="s">
        <v>56</v>
      </c>
      <c r="B19" s="8">
        <v>3</v>
      </c>
    </row>
    <row r="20" spans="1:2" x14ac:dyDescent="0.3">
      <c r="A20" s="9" t="s">
        <v>58</v>
      </c>
      <c r="B20" s="9">
        <v>3</v>
      </c>
    </row>
    <row r="21" spans="1:2" x14ac:dyDescent="0.3">
      <c r="A21" s="8" t="s">
        <v>60</v>
      </c>
      <c r="B21" s="8">
        <v>3</v>
      </c>
    </row>
    <row r="22" spans="1:2" x14ac:dyDescent="0.3">
      <c r="A22" s="9" t="s">
        <v>63</v>
      </c>
      <c r="B22" s="9">
        <v>4</v>
      </c>
    </row>
    <row r="23" spans="1:2" x14ac:dyDescent="0.3">
      <c r="A23" s="8" t="s">
        <v>65</v>
      </c>
      <c r="B23" s="8">
        <v>4</v>
      </c>
    </row>
    <row r="24" spans="1:2" x14ac:dyDescent="0.3">
      <c r="A24" s="9" t="s">
        <v>68</v>
      </c>
      <c r="B24" s="9">
        <v>4</v>
      </c>
    </row>
    <row r="25" spans="1:2" x14ac:dyDescent="0.3">
      <c r="A25" s="8" t="s">
        <v>71</v>
      </c>
      <c r="B25" s="8">
        <v>4</v>
      </c>
    </row>
    <row r="26" spans="1:2" x14ac:dyDescent="0.3">
      <c r="A26" s="9" t="s">
        <v>74</v>
      </c>
      <c r="B26" s="9">
        <v>4</v>
      </c>
    </row>
    <row r="27" spans="1:2" x14ac:dyDescent="0.3">
      <c r="A27" s="8" t="s">
        <v>76</v>
      </c>
      <c r="B27" s="8">
        <v>4</v>
      </c>
    </row>
    <row r="28" spans="1:2" x14ac:dyDescent="0.3">
      <c r="A28" s="9" t="s">
        <v>79</v>
      </c>
      <c r="B28" s="9">
        <v>5</v>
      </c>
    </row>
    <row r="29" spans="1:2" x14ac:dyDescent="0.3">
      <c r="A29" s="8" t="s">
        <v>218</v>
      </c>
      <c r="B29" s="8">
        <v>5</v>
      </c>
    </row>
    <row r="30" spans="1:2" x14ac:dyDescent="0.3">
      <c r="A30" s="9" t="s">
        <v>84</v>
      </c>
      <c r="B30" s="9">
        <v>5</v>
      </c>
    </row>
    <row r="31" spans="1:2" x14ac:dyDescent="0.3">
      <c r="A31" s="8" t="s">
        <v>86</v>
      </c>
      <c r="B31" s="8">
        <v>5</v>
      </c>
    </row>
    <row r="32" spans="1:2" x14ac:dyDescent="0.3">
      <c r="A32" s="9" t="s">
        <v>219</v>
      </c>
      <c r="B32" s="9">
        <v>5</v>
      </c>
    </row>
    <row r="33" spans="1:3" x14ac:dyDescent="0.3">
      <c r="A33" s="8" t="s">
        <v>89</v>
      </c>
      <c r="B33" s="8">
        <v>5</v>
      </c>
    </row>
    <row r="34" spans="1:3" x14ac:dyDescent="0.3">
      <c r="A34" s="9" t="s">
        <v>91</v>
      </c>
      <c r="B34" s="9">
        <v>6</v>
      </c>
    </row>
    <row r="35" spans="1:3" x14ac:dyDescent="0.3">
      <c r="A35" s="8" t="s">
        <v>94</v>
      </c>
      <c r="B35" s="8">
        <v>6</v>
      </c>
    </row>
    <row r="36" spans="1:3" x14ac:dyDescent="0.3">
      <c r="A36" s="9" t="s">
        <v>96</v>
      </c>
      <c r="B36" s="9">
        <v>6</v>
      </c>
    </row>
    <row r="37" spans="1:3" x14ac:dyDescent="0.3">
      <c r="A37" s="8" t="s">
        <v>98</v>
      </c>
      <c r="B37" s="8">
        <v>6</v>
      </c>
    </row>
    <row r="38" spans="1:3" x14ac:dyDescent="0.3">
      <c r="A38" s="9" t="s">
        <v>220</v>
      </c>
      <c r="B38" s="9">
        <v>6</v>
      </c>
    </row>
    <row r="39" spans="1:3" x14ac:dyDescent="0.3">
      <c r="A39" s="8" t="s">
        <v>102</v>
      </c>
      <c r="B39" s="8">
        <v>6</v>
      </c>
    </row>
    <row r="40" spans="1:3" x14ac:dyDescent="0.3">
      <c r="A40" s="9" t="s">
        <v>105</v>
      </c>
      <c r="B40" s="9">
        <v>6</v>
      </c>
    </row>
    <row r="41" spans="1:3" x14ac:dyDescent="0.3">
      <c r="A41" s="8" t="s">
        <v>221</v>
      </c>
      <c r="B41" s="8">
        <v>7</v>
      </c>
    </row>
    <row r="42" spans="1:3" x14ac:dyDescent="0.3">
      <c r="A42" s="9" t="s">
        <v>108</v>
      </c>
      <c r="B42" s="9">
        <v>7</v>
      </c>
    </row>
    <row r="43" spans="1:3" x14ac:dyDescent="0.3">
      <c r="A43" s="11" t="s">
        <v>246</v>
      </c>
      <c r="B43" s="11">
        <v>7</v>
      </c>
      <c r="C43" s="9" t="s">
        <v>253</v>
      </c>
    </row>
    <row r="44" spans="1:3" x14ac:dyDescent="0.3">
      <c r="A44" s="8" t="s">
        <v>256</v>
      </c>
      <c r="B44" s="8">
        <v>7</v>
      </c>
      <c r="C44" s="10" t="s">
        <v>251</v>
      </c>
    </row>
    <row r="45" spans="1:3" x14ac:dyDescent="0.3">
      <c r="A45" s="10" t="s">
        <v>257</v>
      </c>
      <c r="B45" s="10">
        <v>7</v>
      </c>
      <c r="C45" s="10" t="s">
        <v>280</v>
      </c>
    </row>
    <row r="46" spans="1:3" x14ac:dyDescent="0.3">
      <c r="A46" s="8" t="s">
        <v>247</v>
      </c>
      <c r="B46" s="8">
        <v>7</v>
      </c>
    </row>
    <row r="47" spans="1:3" x14ac:dyDescent="0.3">
      <c r="A47" s="10" t="s">
        <v>248</v>
      </c>
      <c r="B47" s="10">
        <v>7</v>
      </c>
      <c r="C47" s="11" t="s">
        <v>252</v>
      </c>
    </row>
    <row r="48" spans="1:3" x14ac:dyDescent="0.3">
      <c r="A48" s="10" t="s">
        <v>255</v>
      </c>
      <c r="B48" s="11">
        <v>7</v>
      </c>
      <c r="C48" s="10" t="s">
        <v>276</v>
      </c>
    </row>
    <row r="49" spans="1:4" x14ac:dyDescent="0.3">
      <c r="A49" s="8" t="s">
        <v>250</v>
      </c>
      <c r="B49" s="8">
        <v>7</v>
      </c>
    </row>
    <row r="50" spans="1:4" x14ac:dyDescent="0.3">
      <c r="A50" s="11" t="s">
        <v>254</v>
      </c>
      <c r="B50" s="11">
        <v>7</v>
      </c>
    </row>
    <row r="51" spans="1:4" x14ac:dyDescent="0.3">
      <c r="A51" s="8" t="s">
        <v>225</v>
      </c>
      <c r="B51" s="8">
        <v>8</v>
      </c>
    </row>
    <row r="52" spans="1:4" x14ac:dyDescent="0.3">
      <c r="A52" s="9" t="s">
        <v>143</v>
      </c>
      <c r="B52" s="9">
        <v>8</v>
      </c>
    </row>
    <row r="53" spans="1:4" x14ac:dyDescent="0.3">
      <c r="A53" s="8" t="s">
        <v>226</v>
      </c>
      <c r="B53" s="8">
        <v>8</v>
      </c>
    </row>
    <row r="54" spans="1:4" x14ac:dyDescent="0.3">
      <c r="A54" s="9" t="s">
        <v>261</v>
      </c>
      <c r="B54" s="9">
        <v>8</v>
      </c>
    </row>
    <row r="55" spans="1:4" x14ac:dyDescent="0.3">
      <c r="A55" s="11" t="s">
        <v>262</v>
      </c>
      <c r="B55" s="11">
        <v>8</v>
      </c>
      <c r="C55" s="11" t="s">
        <v>273</v>
      </c>
      <c r="D55" s="10" t="s">
        <v>268</v>
      </c>
    </row>
    <row r="56" spans="1:4" x14ac:dyDescent="0.3">
      <c r="A56" s="10" t="s">
        <v>263</v>
      </c>
      <c r="B56" s="10">
        <v>8</v>
      </c>
      <c r="C56" s="10" t="s">
        <v>270</v>
      </c>
      <c r="D56" s="10" t="s">
        <v>272</v>
      </c>
    </row>
    <row r="57" spans="1:4" x14ac:dyDescent="0.3">
      <c r="A57" s="10" t="s">
        <v>264</v>
      </c>
      <c r="B57" s="10">
        <v>8</v>
      </c>
      <c r="C57" s="10" t="s">
        <v>265</v>
      </c>
      <c r="D57" s="11" t="s">
        <v>269</v>
      </c>
    </row>
    <row r="58" spans="1:4" x14ac:dyDescent="0.3">
      <c r="A58" s="8" t="s">
        <v>267</v>
      </c>
      <c r="B58" s="8">
        <v>8</v>
      </c>
    </row>
    <row r="59" spans="1:4" x14ac:dyDescent="0.3">
      <c r="A59" s="10" t="s">
        <v>266</v>
      </c>
      <c r="B59" s="10">
        <v>8</v>
      </c>
      <c r="C59" s="10" t="s">
        <v>271</v>
      </c>
      <c r="D59" s="9"/>
    </row>
    <row r="60" spans="1:4" x14ac:dyDescent="0.3">
      <c r="A60" s="9" t="s">
        <v>181</v>
      </c>
      <c r="B60" s="9">
        <v>9</v>
      </c>
    </row>
    <row r="61" spans="1:4" x14ac:dyDescent="0.3">
      <c r="A61" s="8" t="s">
        <v>183</v>
      </c>
      <c r="B61" s="8">
        <v>9</v>
      </c>
    </row>
    <row r="62" spans="1:4" x14ac:dyDescent="0.3">
      <c r="A62" s="10" t="s">
        <v>274</v>
      </c>
      <c r="B62" s="10">
        <v>9</v>
      </c>
      <c r="C62" s="11" t="s">
        <v>279</v>
      </c>
    </row>
    <row r="63" spans="1:4" x14ac:dyDescent="0.3">
      <c r="A63" s="8" t="s">
        <v>283</v>
      </c>
      <c r="B63" s="8">
        <v>9</v>
      </c>
      <c r="C63" s="11" t="s">
        <v>249</v>
      </c>
    </row>
    <row r="64" spans="1:4" x14ac:dyDescent="0.3">
      <c r="A64" s="10" t="s">
        <v>275</v>
      </c>
      <c r="B64" s="10">
        <v>9</v>
      </c>
      <c r="C64" s="11" t="s">
        <v>281</v>
      </c>
      <c r="D64" s="10" t="s">
        <v>282</v>
      </c>
    </row>
    <row r="65" spans="1:3" x14ac:dyDescent="0.3">
      <c r="A65" s="8" t="s">
        <v>284</v>
      </c>
      <c r="B65" s="8">
        <v>9</v>
      </c>
      <c r="C65" s="9" t="s">
        <v>278</v>
      </c>
    </row>
    <row r="66" spans="1:3" x14ac:dyDescent="0.3">
      <c r="A66" s="11" t="s">
        <v>277</v>
      </c>
      <c r="B66" s="11">
        <v>9</v>
      </c>
    </row>
    <row r="67" spans="1:3" x14ac:dyDescent="0.3">
      <c r="A67" s="9" t="s">
        <v>285</v>
      </c>
      <c r="B67" s="9">
        <v>9</v>
      </c>
    </row>
    <row r="68" spans="1:3" x14ac:dyDescent="0.3">
      <c r="A68" s="11" t="s">
        <v>286</v>
      </c>
      <c r="B68" s="11">
        <v>9</v>
      </c>
    </row>
    <row r="69" spans="1:3" x14ac:dyDescent="0.3">
      <c r="B69" s="10"/>
    </row>
    <row r="75" spans="1:3" x14ac:dyDescent="0.3">
      <c r="A75" t="s">
        <v>258</v>
      </c>
      <c r="B75">
        <v>17</v>
      </c>
    </row>
    <row r="76" spans="1:3" x14ac:dyDescent="0.3">
      <c r="A76" t="s">
        <v>259</v>
      </c>
      <c r="B76">
        <v>4</v>
      </c>
    </row>
    <row r="77" spans="1:3" x14ac:dyDescent="0.3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2026-04-06T14:54:00Z</dcterms:modified>
</cp:coreProperties>
</file>